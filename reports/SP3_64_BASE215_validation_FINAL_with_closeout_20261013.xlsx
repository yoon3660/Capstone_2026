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c689f40244a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대시보드" sheetId="1" r:id="R845c25ddcbb0427c"/>
    <x:sheet xmlns:r="http://schemas.openxmlformats.org/officeDocument/2006/relationships" name="01_10일총괄" sheetId="2" r:id="R489a6e222de842fc"/>
    <x:sheet xmlns:r="http://schemas.openxmlformats.org/officeDocument/2006/relationships" name="02_일자별20" sheetId="3" r:id="Rf1fa48b9df604f3a"/>
    <x:sheet xmlns:r="http://schemas.openxmlformats.org/officeDocument/2006/relationships" name="03_휴게소별29" sheetId="4" r:id="R08ab14d5721b4d4a"/>
    <x:sheet xmlns:r="http://schemas.openxmlformats.org/officeDocument/2006/relationships" name="04_휴게소일290" sheetId="5" r:id="R881dd9a881e741c9"/>
    <x:sheet xmlns:r="http://schemas.openxmlformats.org/officeDocument/2006/relationships" name="05_시간대480" sheetId="6" r:id="Rb0dbcce681994172"/>
    <x:sheet xmlns:r="http://schemas.openxmlformats.org/officeDocument/2006/relationships" name="06_20개실행근거" sheetId="7" r:id="Rd2ebb56ff9b2478b"/>
    <x:sheet xmlns:r="http://schemas.openxmlformats.org/officeDocument/2006/relationships" name="07_지표정의와한계" sheetId="8" r:id="Rf65e63ed7fe24185"/>
    <x:sheet xmlns:r="http://schemas.openxmlformats.org/officeDocument/2006/relationships" name="08_이전모델과비교" sheetId="9" r:id="Rcdb71e4e795f426c"/>
    <x:sheet xmlns:r="http://schemas.openxmlformats.org/officeDocument/2006/relationships" name="09_QA검산" sheetId="10" r:id="R97c87c6516774eee"/>
    <x:sheet xmlns:r="http://schemas.openxmlformats.org/officeDocument/2006/relationships" name="10_원자료목록" sheetId="11" r:id="R0b5f6625081148d4"/>
    <x:sheet xmlns:r="http://schemas.openxmlformats.org/officeDocument/2006/relationships" name="11_과거검증연계" sheetId="12" r:id="R386b6b3687824173"/>
    <x:sheet xmlns:r="http://schemas.openxmlformats.org/officeDocument/2006/relationships" name="12_판정근거" sheetId="13" r:id="R17b20b858aaa43f6"/>
    <x:sheet xmlns:r="http://schemas.openxmlformats.org/officeDocument/2006/relationships" name="13_공급판정총괄" sheetId="14" r:id="R8780dd8d3b1740f9"/>
    <x:sheet xmlns:r="http://schemas.openxmlformats.org/officeDocument/2006/relationships" name="14_2026제외51_상세" sheetId="15" r:id="R7b64a8051bc74489"/>
    <x:sheet xmlns:r="http://schemas.openxmlformats.org/officeDocument/2006/relationships" name="15_35개소공급포함" sheetId="16" r:id="R918d5092e5734e3e"/>
    <x:sheet xmlns:r="http://schemas.openxmlformats.org/officeDocument/2006/relationships" name="16_공급판정_최종" sheetId="17" r:id="Rf2cf04123b284ceb"/>
    <x:sheet xmlns:r="http://schemas.openxmlformats.org/officeDocument/2006/relationships" name="17_오차원인_재판정" sheetId="18" r:id="R98535809514840df"/>
    <x:sheet xmlns:r="http://schemas.openxmlformats.org/officeDocument/2006/relationships" name="18_QA_종료판정" sheetId="19" r:id="R583f045bee1347ac"/>
    <x:sheet xmlns:r="http://schemas.openxmlformats.org/officeDocument/2006/relationships" name="19_종료체크" sheetId="20" r:id="R6b19618f7a2d4387"/>
    <x:sheet xmlns:r="http://schemas.openxmlformats.org/officeDocument/2006/relationships" name="20_후속필요_미지정" sheetId="21" r:id="R322dfbf27f374bbd"/>
    <x:sheet xmlns:r="http://schemas.openxmlformats.org/officeDocument/2006/relationships" name="21_근거경로QA" sheetId="22" r:id="Rda846f8fb01d4b15"/>
    <x:sheet xmlns:r="http://schemas.openxmlformats.org/officeDocument/2006/relationships" name="22_운영사별증거구성" sheetId="23" r:id="R3bcd8e0eb70d44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&quot;%&quot;"/>
    <x:numFmt numFmtId="201" formatCode="0.0"/>
    <x:numFmt numFmtId="202" formatCode="#,##0.00"/>
    <x:numFmt numFmtId="203" formatCode="0.00"/>
    <x:numFmt numFmtId="204" formatCode="#,##0;[Red]-#,##0"/>
  </x:numFmts>
  <x:fonts count="20">
    <x:font>
      <x:sz val="11"/>
      <x:name val="Carlito"/>
    </x:font>
    <x:font>
      <x:b/>
      <x:sz val="20"/>
      <x:color rgb="FFFFFFFF"/>
      <x:name val="Carlito"/>
    </x:font>
    <x:font>
      <x:sz val="10"/>
      <x:color rgb="FF183044"/>
      <x:name val="Carlito"/>
    </x:font>
    <x:font>
      <x:b/>
      <x:sz val="14"/>
      <x:color rgb="FF19314B"/>
      <x:name val="Carlito"/>
    </x:font>
    <x:font>
      <x:b/>
      <x:sz val="13"/>
      <x:color rgb="FF19314B"/>
      <x:name val="Carlito"/>
    </x:font>
    <x:font>
      <x:b/>
      <x:sz val="11"/>
      <x:color rgb="FFFFFFFF"/>
      <x:name val="Carlito"/>
    </x:font>
    <x:font>
      <x:b/>
      <x:sz val="11"/>
      <x:color rgb="FF19314B"/>
      <x:name val="Carlito"/>
    </x:font>
    <x:font>
      <x:i/>
      <x:sz val="11"/>
      <x:color rgb="FF64748B"/>
      <x:name val="Carlito"/>
    </x:font>
    <x:font>
      <x:sz val="11"/>
      <x:color rgb="FF183044"/>
      <x:name val="Carlito"/>
    </x:font>
    <x:font>
      <x:b/>
      <x:sz val="10"/>
      <x:color rgb="FF183044"/>
      <x:name val="Carlito"/>
    </x:font>
    <x:font>
      <x:b/>
      <x:sz val="10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Carlito"/>
    </x:font>
    <x:font>
      <x:b/>
      <x:sz val="11"/>
      <x:color rgb="FF16324F"/>
      <x:name val="Carlito"/>
    </x:font>
    <x:font>
      <x:b/>
      <x:sz val="11"/>
      <x:name val="Carlito"/>
    </x:font>
    <x:font>
      <x:b/>
      <x:sz val="11"/>
      <x:color rgb="FF8A4700"/>
      <x:name val="Carlito"/>
    </x:font>
    <x:font>
      <x:sz val="11"/>
      <x:color rgb="FF16324F"/>
      <x:name val="Carlito"/>
    </x:font>
    <x:font>
      <x:b/>
      <x:sz val="15"/>
      <x:color rgb="FFFFFFFF"/>
      <x:name val="Carlito"/>
    </x:font>
    <x:font>
      <x:sz val="10"/>
      <x:color rgb="FF173554"/>
      <x:name val="Carlito"/>
    </x:font>
    <x:font>
      <x:b/>
      <x:sz val="11"/>
      <x:color rgb="FF173554"/>
      <x:name val="Carlito"/>
    </x:font>
  </x:fonts>
  <x:fills count="25">
    <x:fill>
      <x:patternFill patternType="none"/>
    </x:fill>
    <x:fill>
      <x:patternFill patternType="gray125"/>
    </x:fill>
    <x:fill>
      <x:patternFill patternType="solid">
        <x:fgColor rgb="FF19314B"/>
      </x:patternFill>
    </x:fill>
    <x:fill>
      <x:patternFill patternType="solid">
        <x:fgColor rgb="FFDCEAF5"/>
      </x:patternFill>
    </x:fill>
    <x:fill>
      <x:patternFill patternType="solid">
        <x:fgColor rgb="FFECF4F7"/>
      </x:patternFill>
    </x:fill>
    <x:fill>
      <x:patternFill patternType="solid">
        <x:fgColor rgb="FF215B8E"/>
      </x:patternFill>
    </x:fill>
    <x:fill>
      <x:patternFill patternType="solid">
        <x:fgColor rgb="FFFFFFFF"/>
      </x:patternFill>
    </x:fill>
    <x:fill>
      <x:patternFill patternType="solid">
        <x:fgColor rgb="FFFFF4D8"/>
      </x:patternFill>
    </x:fill>
    <x:fill>
      <x:patternFill patternType="solid">
        <x:fgColor rgb="FF243B53"/>
      </x:patternFill>
    </x:fill>
    <x:fill>
      <x:patternFill patternType="solid">
        <x:fgColor rgb="FF17324D"/>
      </x:patternFill>
    </x:fill>
    <x:fill>
      <x:patternFill patternType="solid">
        <x:fgColor rgb="FFE8F0F8"/>
      </x:patternFill>
    </x:fill>
    <x:fill>
      <x:patternFill patternType="solid">
        <x:fgColor rgb="FF10263D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DEE9F2"/>
      </x:patternFill>
    </x:fill>
    <x:fill>
      <x:patternFill patternType="solid">
        <x:fgColor rgb="FFFFF3D8"/>
      </x:patternFill>
    </x:fill>
    <x:fill>
      <x:patternFill patternType="solid">
        <x:fgColor rgb="FFF6F8FA"/>
      </x:patternFill>
    </x:fill>
    <x:fill>
      <x:patternFill patternType="solid">
        <x:fgColor rgb="FF213247"/>
      </x:patternFill>
    </x:fill>
    <x:fill>
      <x:patternFill patternType="solid">
        <x:fgColor rgb="FFEFF4F8"/>
      </x:patternFill>
    </x:fill>
    <x:fill>
      <x:patternFill patternType="solid">
        <x:fgColor rgb="FF173554"/>
      </x:patternFill>
    </x:fill>
    <x:fill>
      <x:patternFill patternType="solid">
        <x:fgColor rgb="FFE9F1F7"/>
      </x:patternFill>
    </x:fill>
    <x:fill>
      <x:patternFill patternType="solid">
        <x:fgColor rgb="FF244A64"/>
      </x:patternFill>
    </x:fill>
    <x:fill>
      <x:patternFill patternType="solid">
        <x:fgColor rgb="FFEAF3F8"/>
      </x:patternFill>
    </x:fill>
    <x:fill>
      <x:patternFill patternType="solid">
        <x:fgColor rgb="FFF2F6FA"/>
      </x:patternFill>
    </x:fill>
    <x:fill>
      <x:patternFill patternType="solid">
        <x:fgColor rgb="FFD8E6ED"/>
      </x:patternFill>
    </x:fill>
  </x:fills>
  <x:borders count="2">
    <x:border/>
    <x:border/>
  </x:borders>
  <x:cellStyleXfs count="1">
    <x:xf numFmtId="0" fontId="0" fillId="0" borderId="0"/>
  </x:cellStyleXfs>
  <x:cellXfs count="1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200" fontId="0" fillId="0" borderId="0" xfId="0" applyNumberFormat="1" applyFont="1" applyFill="1" applyBorder="1"/>
    <x:xf numFmtId="200" fontId="6" fillId="3" borderId="0" xfId="0" applyNumberFormat="1" applyFont="1" applyFill="1" applyBorder="1"/>
    <x:xf numFmtId="200" fontId="0" fillId="0" borderId="1" xfId="0" applyNumberFormat="1" applyFont="1" applyFill="1" applyBorder="1"/>
    <x:xf numFmtId="200" fontId="6" fillId="3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center" wrapText="1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wrapText="1"/>
    </x:xf>
    <x:xf numFmtId="0" fontId="10" fillId="2" borderId="1" xfId="0" applyNumberFormat="1" applyFont="1" applyFill="1" applyBorder="1" applyAlignment="1">
      <x:alignment horizontal="center" wrapText="1"/>
    </x:xf>
    <x:xf numFmtId="0" fontId="10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200" fontId="0" fillId="3" borderId="0" xfId="0" applyNumberFormat="1" applyFont="1" applyFill="1" applyBorder="1" applyAlignment="1">
      <x:alignment vertical="center"/>
    </x:xf>
    <x:xf numFmtId="202" fontId="0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200" fontId="0" fillId="3" borderId="1" xfId="0" applyNumberFormat="1" applyFont="1" applyFill="1" applyBorder="1" applyAlignment="1">
      <x:alignment vertical="center"/>
    </x:xf>
    <x:xf numFmtId="202" fontId="0" fillId="3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12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wrapText="1"/>
    </x:xf>
    <x:xf numFmtId="0" fontId="13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4" fillId="14" borderId="0" xfId="0" applyNumberFormat="1" applyFont="1" applyFill="1" applyBorder="1"/>
    <x:xf numFmtId="0" fontId="0" fillId="15" borderId="0" xfId="0" applyNumberFormat="1" applyFont="1" applyFill="1" applyBorder="1"/>
    <x:xf numFmtId="0" fontId="15" fillId="15" borderId="0" xfId="0" applyNumberFormat="1" applyFont="1" applyFill="1" applyBorder="1"/>
    <x:xf numFmtId="0" fontId="15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6" fillId="16" borderId="0" xfId="0" applyNumberFormat="1" applyFont="1" applyFill="1" applyBorder="1"/>
    <x:xf numFmtId="0" fontId="16" fillId="16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0" fillId="17" borderId="0" xfId="0" applyNumberFormat="1" applyFont="1" applyFill="1" applyBorder="1"/>
    <x:xf numFmtId="0" fontId="10" fillId="17" borderId="0" xfId="0" applyNumberFormat="1" applyFont="1" applyFill="1" applyBorder="1" applyAlignment="1">
      <x:alignment horizontal="center"/>
    </x:xf>
    <x:xf numFmtId="0" fontId="10" fillId="17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17" fillId="19" borderId="0" xfId="0" applyNumberFormat="1" applyFont="1" applyFill="1" applyBorder="1"/>
    <x:xf numFmtId="0" fontId="0" fillId="20" borderId="0" xfId="0" applyNumberFormat="1" applyFont="1" applyFill="1" applyBorder="1"/>
    <x:xf numFmtId="0" fontId="18" fillId="20" borderId="0" xfId="0" applyNumberFormat="1" applyFont="1" applyFill="1" applyBorder="1"/>
    <x:xf numFmtId="0" fontId="0" fillId="21" borderId="0" xfId="0" applyNumberFormat="1" applyFont="1" applyFill="1" applyBorder="1"/>
    <x:xf numFmtId="0" fontId="10" fillId="21" borderId="0" xfId="0" applyNumberFormat="1" applyFont="1" applyFill="1" applyBorder="1"/>
    <x:xf numFmtId="0" fontId="10" fillId="21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 applyAlignment="1">
      <x:alignment vertical="top" wrapText="1"/>
    </x:xf>
    <x:xf numFmtId="0" fontId="0" fillId="23" borderId="0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/>
    <x:xf numFmtId="0" fontId="19" fillId="24" borderId="0" xfId="0" applyNumberFormat="1" applyFont="1" applyFill="1" applyBorder="1"/>
  </x:cellXfs>
  <x:cellStyles count="1">
    <x:cellStyle name="Normal" xfId="0"/>
  </x:cellStyles>
  <x:dxfs count="1">
    <x:dxf>
      <x:font>
        <x:color rgb="FF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c27eeeabf54d5e" /><Relationship Type="http://schemas.openxmlformats.org/officeDocument/2006/relationships/theme" Target="/xl/theme/theme1.xml" Id="R2d6263c5669f424b" /><Relationship Type="http://schemas.openxmlformats.org/officeDocument/2006/relationships/sharedStrings" Target="/xl/sharedStrings.xml" Id="Rec2974ab89284aeb" /><Relationship Type="http://schemas.openxmlformats.org/officeDocument/2006/relationships/worksheet" Target="/xl/worksheets/sheet1.xml" Id="R845c25ddcbb0427c" /><Relationship Type="http://schemas.openxmlformats.org/officeDocument/2006/relationships/worksheet" Target="/xl/worksheets/sheet2.xml" Id="R489a6e222de842fc" /><Relationship Type="http://schemas.openxmlformats.org/officeDocument/2006/relationships/worksheet" Target="/xl/worksheets/sheet3.xml" Id="Rf1fa48b9df604f3a" /><Relationship Type="http://schemas.openxmlformats.org/officeDocument/2006/relationships/worksheet" Target="/xl/worksheets/sheet4.xml" Id="R08ab14d5721b4d4a" /><Relationship Type="http://schemas.openxmlformats.org/officeDocument/2006/relationships/worksheet" Target="/xl/worksheets/sheet5.xml" Id="R881dd9a881e741c9" /><Relationship Type="http://schemas.openxmlformats.org/officeDocument/2006/relationships/worksheet" Target="/xl/worksheets/sheet6.xml" Id="Rb0dbcce681994172" /><Relationship Type="http://schemas.openxmlformats.org/officeDocument/2006/relationships/worksheet" Target="/xl/worksheets/sheet7.xml" Id="Rd2ebb56ff9b2478b" /><Relationship Type="http://schemas.openxmlformats.org/officeDocument/2006/relationships/worksheet" Target="/xl/worksheets/sheet8.xml" Id="Rf65e63ed7fe24185" /><Relationship Type="http://schemas.openxmlformats.org/officeDocument/2006/relationships/worksheet" Target="/xl/worksheets/sheet9.xml" Id="Rcdb71e4e795f426c" /><Relationship Type="http://schemas.openxmlformats.org/officeDocument/2006/relationships/worksheet" Target="/xl/worksheets/sheet10.xml" Id="R97c87c6516774eee" /><Relationship Type="http://schemas.openxmlformats.org/officeDocument/2006/relationships/worksheet" Target="/xl/worksheets/sheet11.xml" Id="R0b5f6625081148d4" /><Relationship Type="http://schemas.openxmlformats.org/officeDocument/2006/relationships/worksheet" Target="/xl/worksheets/sheet12.xml" Id="R386b6b3687824173" /><Relationship Type="http://schemas.openxmlformats.org/officeDocument/2006/relationships/worksheet" Target="/xl/worksheets/sheet13.xml" Id="R17b20b858aaa43f6" /><Relationship Type="http://schemas.openxmlformats.org/officeDocument/2006/relationships/worksheet" Target="/xl/worksheets/sheet14.xml" Id="R8780dd8d3b1740f9" /><Relationship Type="http://schemas.openxmlformats.org/officeDocument/2006/relationships/worksheet" Target="/xl/worksheets/sheet15.xml" Id="R7b64a8051bc74489" /><Relationship Type="http://schemas.openxmlformats.org/officeDocument/2006/relationships/worksheet" Target="/xl/worksheets/sheet16.xml" Id="R918d5092e5734e3e" /><Relationship Type="http://schemas.openxmlformats.org/officeDocument/2006/relationships/worksheet" Target="/xl/worksheets/sheet17.xml" Id="Rf2cf04123b284ceb" /><Relationship Type="http://schemas.openxmlformats.org/officeDocument/2006/relationships/worksheet" Target="/xl/worksheets/sheet18.xml" Id="R98535809514840df" /><Relationship Type="http://schemas.openxmlformats.org/officeDocument/2006/relationships/worksheet" Target="/xl/worksheets/sheet19.xml" Id="R583f045bee1347ac" /><Relationship Type="http://schemas.openxmlformats.org/officeDocument/2006/relationships/worksheet" Target="/xl/worksheets/sheet20.xml" Id="R6b19618f7a2d4387" /><Relationship Type="http://schemas.openxmlformats.org/officeDocument/2006/relationships/worksheet" Target="/xl/worksheets/sheet21.xml" Id="R322dfbf27f374bbd" /><Relationship Type="http://schemas.openxmlformats.org/officeDocument/2006/relationships/worksheet" Target="/xl/worksheets/sheet22.xml" Id="Rda846f8fb01d4b15" /><Relationship Type="http://schemas.openxmlformats.org/officeDocument/2006/relationships/worksheet" Target="/xl/worksheets/sheet23.xml" Id="R3bcd8e0eb70d44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4" hidden="0" customWidth="1"/>
    <x:col min="4" max="4" width="14" hidden="0" customWidth="1"/>
    <x:col min="5" max="5" width="13" hidden="0" customWidth="1"/>
    <x:col min="6" max="6" width="16" hidden="0" customWidth="1"/>
    <x:col min="7" max="7" width="16" hidden="0" customWidth="1"/>
    <x:col min="8" max="8" width="17" hidden="0" customWidth="1"/>
    <x:col min="9" max="9" width="17" hidden="0" customWidth="1"/>
    <x:col min="10" max="10" width="17" hidden="0" customWidth="1"/>
    <x:col min="11" max="11" width="16" hidden="0" customWidth="1"/>
    <x:col min="12" max="12" width="20" hidden="0" customWidth="1"/>
  </x:cols>
  <x:sheetData>
    <x:row r="1" ht="25" customHeight="1">
      <x:c r="A1" s="4" t="str">
        <x:v>BASE215 · 설 연휴 10일 충전 실측 검증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31" customHeight="1">
      <x:c r="A3" s="10" t="str">
        <x:v>35개소 중 관측 29개 · DOWN 10일 + UP 10일 · ME 가상 그룹 ↔ 환경부 제공 이력 · 검증 통과 판정 보류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5" ht="36" customHeight="1">
      <x:c r="A5" s="16" t="str">
        <x:v>10일 실측 시작 총합 | 11,405건    ·    모델 ME | 8,413건    ·    편향 | −2,992건 (−26.23%)</x:v>
      </x:c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</x:row>
    <x:row r="7" ht="26" customHeight="1">
      <x:c r="A7" s="20" t="str">
        <x:v>주요 지표   (시작 건수: 실측 양수만 MAPE / 실측 0건은 WAPE 오차 포함)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</x:row>
    <x:row r="8" ht="34" customHeight="1">
      <x:c r="A8" s="25" t="str">
        <x:v>방향</x:v>
      </x:c>
      <x:c r="B8" s="25" t="str">
        <x:v>실측 건수</x:v>
      </x:c>
      <x:c r="C8" s="25" t="str">
        <x:v>모델 ME</x:v>
      </x:c>
      <x:c r="D8" s="25" t="str">
        <x:v>편향</x:v>
      </x:c>
      <x:c r="E8" s="25" t="str">
        <x:v>Bias %</x:v>
      </x:c>
      <x:c r="F8" s="25" t="str">
        <x:v>일 WAPE %</x:v>
      </x:c>
      <x:c r="G8" s="25" t="str">
        <x:v>일 MAPE %</x:v>
      </x:c>
      <x:c r="H8" s="25" t="str">
        <x:v>시간 WAPE %</x:v>
      </x:c>
      <x:c r="I8" s="25" t="str">
        <x:v>시간 MAPE %</x:v>
      </x:c>
      <x:c r="J8" s="25" t="str">
        <x:v>점유 WAPE %</x:v>
      </x:c>
      <x:c r="K8" s="25" t="str">
        <x:v>점유 Bias %</x:v>
      </x:c>
      <x:c r="L8" s="25" t="str">
        <x:v>비교 일/시 셀</x:v>
      </x:c>
    </x:row>
    <x:row r="9">
      <x:c r="A9" t="str">
        <x:v>DOWN</x:v>
      </x:c>
      <x:c r="B9" t="n">
        <x:v>4828</x:v>
      </x:c>
      <x:c r="C9" t="n">
        <x:v>3899</x:v>
      </x:c>
      <x:c r="D9" t="n">
        <x:v>-929</x:v>
      </x:c>
      <x:c r="E9" s="32" t="n">
        <x:v>-19.241922</x:v>
      </x:c>
      <x:c r="F9" s="32" t="n">
        <x:v>95.671085</x:v>
      </x:c>
      <x:c r="G9" s="32" t="n">
        <x:v>105.2706</x:v>
      </x:c>
      <x:c r="H9" s="32" t="n">
        <x:v>112.282519</x:v>
      </x:c>
      <x:c r="I9" s="32" t="n">
        <x:v>111.055924</x:v>
      </x:c>
      <x:c r="J9" s="32" t="n">
        <x:v>92.852825</x:v>
      </x:c>
      <x:c r="K9" s="32" t="n">
        <x:v>-60.988532</x:v>
      </x:c>
      <x:c r="L9" t="str">
        <x:v>150 / 3,600</x:v>
      </x:c>
    </x:row>
    <x:row r="10">
      <x:c r="A10" t="str">
        <x:v>UP</x:v>
      </x:c>
      <x:c r="B10" t="n">
        <x:v>6577</x:v>
      </x:c>
      <x:c r="C10" t="n">
        <x:v>4514</x:v>
      </x:c>
      <x:c r="D10" t="n">
        <x:v>-2063</x:v>
      </x:c>
      <x:c r="E10" s="32" t="n">
        <x:v>-31.366885</x:v>
      </x:c>
      <x:c r="F10" s="32" t="n">
        <x:v>65.881101</x:v>
      </x:c>
      <x:c r="G10" s="32" t="n">
        <x:v>81.012195</x:v>
      </x:c>
      <x:c r="H10" s="32" t="n">
        <x:v>88.657443</x:v>
      </x:c>
      <x:c r="I10" s="32" t="n">
        <x:v>93.063922</x:v>
      </x:c>
      <x:c r="J10" s="32" t="n">
        <x:v>85.935525</x:v>
      </x:c>
      <x:c r="K10" s="32" t="n">
        <x:v>-68.753994</x:v>
      </x:c>
      <x:c r="L10" t="str">
        <x:v>140 / 3,360</x:v>
      </x:c>
    </x:row>
    <x:row r="11" ht="28" customHeight="1">
      <x:c r="A11" s="30" t="str">
        <x:v>ALL</x:v>
      </x:c>
      <x:c r="B11" s="30" t="n">
        <x:v>11405</x:v>
      </x:c>
      <x:c r="C11" s="30" t="n">
        <x:v>8413</x:v>
      </x:c>
      <x:c r="D11" s="30" t="n">
        <x:v>-2992</x:v>
      </x:c>
      <x:c r="E11" s="33" t="n">
        <x:v>-26.234108</x:v>
      </x:c>
      <x:c r="F11" s="33" t="n">
        <x:v>78.49189</x:v>
      </x:c>
      <x:c r="G11" s="33" t="n">
        <x:v>93.312232</x:v>
      </x:c>
      <x:c r="H11" s="33" t="n">
        <x:v>98.658483</x:v>
      </x:c>
      <x:c r="I11" s="33" t="n">
        <x:v>101.604429</x:v>
      </x:c>
      <x:c r="J11" s="33" t="n">
        <x:v>88.93508</x:v>
      </x:c>
      <x:c r="K11" s="33" t="n">
        <x:v>-65.38665</x:v>
      </x:c>
      <x:c r="L11" s="30" t="str">
        <x:v>290 / 6,960</x:v>
      </x:c>
    </x:row>
    <x:row r="13" ht="27" customHeight="1">
      <x:c r="A13" s="36" t="str">
        <x:v>중요 발견 / 해석</x:v>
      </x:c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</x:row>
    <x:row r="14" ht="27" customHeight="1">
      <x:c r="A14" s="38" t="str">
        <x:v>1) 시작 건수 총량은 26.23% 적지만, 휴게소×일 WAPE는 78.49%로 공간 배분이 크게 어긋남</x:v>
      </x:c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</x:row>
    <x:row r="15" ht="27" customHeight="1">
      <x:c r="A15" s="41" t="str">
        <x:v>2) 시간대까지 분해하면 WAPE 98.66%; 피크 ±1시간 일치는 4/20 방향×일 조합뿐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</x:row>
    <x:row r="16" ht="27" customHeight="1">
      <x:c r="A16" s="38" t="str">
        <x:v>3) 점유시간은 실측 5,141.3h vs 모델 ME 1,779.6h: 약 65.39% 부족</x:v>
      </x:c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</x:row>
    <x:row r="17" ht="27" customHeight="1">
      <x:c r="A17" s="41" t="str">
        <x:v>4) 상위 오차 5개소(평사·칠곡·죽암·추풍령·죽전)가 휴게소×일 절대오차의 47.59%</x:v>
      </x:c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</x:row>
    <x:row r="18" ht="27" customHeight="1">
      <x:c r="A18" s="38" t="str">
        <x:v>5) ME 이벤트 0건/실측 양수: DOWN 기흥·옥천만남·통도사, UP 양산 → 운영사/장비 매핑 우선 확인</x:v>
      </x:c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</x:row>
    <x:row r="19" ht="27" customHeight="1">
      <x:c r="A19" s="41" t="str">
        <x:v>6) 실측 운영사 범위 미확정 · 2월 물리 충전기 수 미확정 · 독립 24h 실행 · seed7 한 번</x:v>
      </x:c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</x:row>
    <x:row r="21" ht="24" customHeight="1">
      <x:c r="A21" s="44" t="str">
        <x:v>아래 표: 시작건수 휴게소×일 WAPE (날짜·방향 별). 일별 결과의 평균이 10일 누적 WAPE는 아님.</x:v>
      </x:c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</x:row>
    <x:row r="23">
      <x:c r="A23" s="23" t="str">
        <x:v>날짜</x:v>
      </x:c>
      <x:c r="B23" s="23" t="str">
        <x:v>DOWN WAPE %</x:v>
      </x:c>
      <x:c r="C23" s="23" t="str">
        <x:v>UP WAPE %</x:v>
      </x:c>
      <x:c r="E23" s="50" t="str">
        <x:v>자료 해석: 95% WAPE는 95%의 충전 이벤트가 틀렸다는 뜻이 아니라, 실측 합계 대비 휴게소별 건수 절대오차의 합이 95%라는 뜻임.</x:v>
      </x:c>
      <x:c r="F23" s="50"/>
      <x:c r="G23" s="50"/>
      <x:c r="H23" s="50"/>
      <x:c r="I23" s="50"/>
      <x:c r="J23" s="50"/>
      <x:c r="K23" s="50"/>
      <x:c r="L23" s="50"/>
    </x:row>
    <x:row r="24">
      <x:c r="A24" t="str">
        <x:v>02-13</x:v>
      </x:c>
      <x:c r="B24" s="46" t="n">
        <x:v>88.043478</x:v>
      </x:c>
      <x:c r="C24" s="46" t="n">
        <x:v>69.085174</x:v>
      </x:c>
      <x:c r="E24" s="50"/>
      <x:c r="F24" s="50"/>
      <x:c r="G24" s="50"/>
      <x:c r="H24" s="50"/>
      <x:c r="I24" s="50"/>
      <x:c r="J24" s="50"/>
      <x:c r="K24" s="50"/>
      <x:c r="L24" s="50"/>
    </x:row>
    <x:row r="25">
      <x:c r="A25" t="str">
        <x:v>02-14</x:v>
      </x:c>
      <x:c r="B25" s="46" t="n">
        <x:v>87.856072</x:v>
      </x:c>
      <x:c r="C25" s="46" t="n">
        <x:v>73.6</x:v>
      </x:c>
      <x:c r="E25" s="50"/>
      <x:c r="F25" s="50"/>
      <x:c r="G25" s="50"/>
      <x:c r="H25" s="50"/>
      <x:c r="I25" s="50"/>
      <x:c r="J25" s="50"/>
      <x:c r="K25" s="50"/>
      <x:c r="L25" s="50"/>
    </x:row>
    <x:row r="26">
      <x:c r="A26" t="str">
        <x:v>02-15</x:v>
      </x:c>
      <x:c r="B26" s="46" t="n">
        <x:v>82.084691</x:v>
      </x:c>
      <x:c r="C26" s="46" t="n">
        <x:v>65.225225</x:v>
      </x:c>
    </x:row>
    <x:row r="27">
      <x:c r="A27" t="str">
        <x:v>02-16</x:v>
      </x:c>
      <x:c r="B27" s="46" t="n">
        <x:v>95.099819</x:v>
      </x:c>
      <x:c r="C27" s="46" t="n">
        <x:v>53.176796</x:v>
      </x:c>
      <x:c r="E27" s="50" t="str">
        <x:v>휴게소×일 WAPE를 휴게소×시간 WAPE와 구분하고, MAPE는 실측 0건이 아닌 셀만 사용.</x:v>
      </x:c>
      <x:c r="F27" s="50"/>
      <x:c r="G27" s="50"/>
      <x:c r="H27" s="50"/>
      <x:c r="I27" s="50"/>
      <x:c r="J27" s="50"/>
      <x:c r="K27" s="50"/>
      <x:c r="L27" s="50"/>
    </x:row>
    <x:row r="28">
      <x:c r="A28" t="str">
        <x:v>02-17</x:v>
      </x:c>
      <x:c r="B28" s="46" t="n">
        <x:v>90.359168</x:v>
      </x:c>
      <x:c r="C28" s="46" t="n">
        <x:v>54.193548</x:v>
      </x:c>
      <x:c r="E28" s="50"/>
      <x:c r="F28" s="50"/>
      <x:c r="G28" s="50"/>
      <x:c r="H28" s="50"/>
      <x:c r="I28" s="50"/>
      <x:c r="J28" s="50"/>
      <x:c r="K28" s="50"/>
      <x:c r="L28" s="50"/>
    </x:row>
    <x:row r="29">
      <x:c r="A29" t="str">
        <x:v>02-18</x:v>
      </x:c>
      <x:c r="B29" s="46" t="n">
        <x:v>130.08596</x:v>
      </x:c>
      <x:c r="C29" s="46" t="n">
        <x:v>66.026411</x:v>
      </x:c>
      <x:c r="E29" s="50"/>
      <x:c r="F29" s="50"/>
      <x:c r="G29" s="50"/>
      <x:c r="H29" s="50"/>
      <x:c r="I29" s="50"/>
      <x:c r="J29" s="50"/>
      <x:c r="K29" s="50"/>
      <x:c r="L29" s="50"/>
    </x:row>
    <x:row r="30">
      <x:c r="A30" t="str">
        <x:v>02-19</x:v>
      </x:c>
      <x:c r="B30" s="46" t="n">
        <x:v>105.135135</x:v>
      </x:c>
      <x:c r="C30" s="46" t="n">
        <x:v>82.985554</x:v>
      </x:c>
    </x:row>
    <x:row r="31">
      <x:c r="A31" t="str">
        <x:v>02-20</x:v>
      </x:c>
      <x:c r="B31" s="46" t="n">
        <x:v>95.454545</x:v>
      </x:c>
      <x:c r="C31" s="46" t="n">
        <x:v>74.96112</x:v>
      </x:c>
    </x:row>
    <x:row r="32">
      <x:c r="A32" t="str">
        <x:v>02-21</x:v>
      </x:c>
      <x:c r="B32" s="46" t="n">
        <x:v>102.843602</x:v>
      </x:c>
      <x:c r="C32" s="46" t="n">
        <x:v>62.608696</x:v>
      </x:c>
    </x:row>
    <x:row r="33">
      <x:c r="A33" t="str">
        <x:v>02-22</x:v>
      </x:c>
      <x:c r="B33" s="46" t="n">
        <x:v>102.994012</x:v>
      </x:c>
      <x:c r="C33" s="46" t="n">
        <x:v>65.535714</x:v>
      </x:c>
    </x:row>
    <x:row r="35" ht="25" customHeight="1">
      <x:c r="A35" s="109" t="str">
        <x:v>공급 판정 재확인: 2026-09 API 282 → 일정·공고·접근성 규칙으로 67 제외 → 실제 UE BASE215</x:v>
      </x:c>
    </x:row>
    <x:row r="36" ht="25" customHeight="1">
      <x:c r="A36" s="118" t="str">
        <x:v>42(설 이후 일정 기준): 모델 제외 확정 · 4(취소): 제외 · 5(시점 불명): 기본 제외 · 16(승용 접근 불명): 제외</x:v>
      </x:c>
    </x:row>
    <x:row r="37" ht="25" customHeight="1">
      <x:c r="A37" s="109" t="str">
        <x:v>BASE215=ME95+설 이전 비ME 승용 후보120; 하행112/상행103. 모델 적용·공급표의 배치 일치 확인</x:v>
      </x:c>
    </x:row>
    <x:row r="38" ht="25" customHeight="1">
      <x:c r="A38" s="118" t="str">
        <x:v>미확정: 2월 개별 실물 기기 ID·가동/운영사 / 2월 개통일 직접 확인. 모델 제외 판정이 미확정인 것은 아님</x:v>
      </x:c>
    </x:row>
    <x:row r="39" ht="25" customHeight="1">
      <x:c r="A39" s="118" t="str">
        <x:v>공급 포함/제외 판단 문제와 충전 시작 MAPE/WAPE·현실 재현 오차 원인은 별도로 평가 (16~18 시트 참조)</x:v>
      </x:c>
    </x:row>
    <x:row r="41" ht="28" customHeight="1">
      <x:c r="A41" s="56" t="str">
        <x:v>판정: 사전 공급 선정·입력 일치와 집계 재검산 완료. 실제 2월 장비 실물/운영사 동일성, 민간 전체 기록, 대기시간 검증은 미확정이므로 외부 현실 적합성 PASS 보류.</x:v>
      </x:c>
      <x:c r="B41" s="56"/>
      <x:c r="C41" s="56"/>
      <x:c r="D41" s="56"/>
      <x:c r="E41" s="56"/>
      <x:c r="F41" s="56"/>
      <x:c r="G41" s="56"/>
      <x:c r="H41" s="56"/>
      <x:c r="I41" s="56"/>
      <x:c r="J41" s="56"/>
      <x:c r="K41" s="56"/>
      <x:c r="L41" s="56"/>
    </x:row>
    <x:row r="42" ht="28" customHeight="1">
      <x:c r="A42" s="56"/>
      <x:c r="B42" s="56"/>
      <x:c r="C42" s="56"/>
      <x:c r="D42" s="56"/>
      <x:c r="E42" s="56"/>
      <x:c r="F42" s="56"/>
      <x:c r="G42" s="56"/>
      <x:c r="H42" s="56"/>
      <x:c r="I42" s="56"/>
      <x:c r="J42" s="56"/>
      <x:c r="K42" s="56"/>
      <x:c r="L42" s="56"/>
    </x:row>
  </x:sheetData>
  <x:mergeCells>
    <x:mergeCell ref="A1:L2"/>
    <x:mergeCell ref="A3:L3"/>
    <x:mergeCell ref="A5:L5"/>
    <x:mergeCell ref="A7:L7"/>
    <x:mergeCell ref="A13:L13"/>
    <x:mergeCell ref="A14:L14"/>
    <x:mergeCell ref="A15:L15"/>
    <x:mergeCell ref="A16:L16"/>
    <x:mergeCell ref="A17:L17"/>
    <x:mergeCell ref="A18:L18"/>
    <x:mergeCell ref="A19:L19"/>
    <x:mergeCell ref="A21:L21"/>
    <x:mergeCell ref="E23:L25"/>
    <x:mergeCell ref="E27:L29"/>
    <x:mergeCell ref="A41:L42"/>
    <x:mergeCell ref="A35:L35"/>
    <x:mergeCell ref="A36:L36"/>
    <x:mergeCell ref="A37:L37"/>
    <x:mergeCell ref="A38:L38"/>
    <x:mergeCell ref="A39:L39"/>
  </x:mergeCells>
  <x:conditionalFormatting sqref="B24:C33">
    <x:cfRule type="colorScale" priority="1">
      <x:colorScale>
        <x:cfvo type="min"/>
        <x:cfvo type="percentile" val="50"/>
        <x:cfvo type="max"/>
        <x:color rgb="FFE2F4EC"/>
        <x:color rgb="FFFFF4D8"/>
        <x:color rgb="FFFCE8E8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3" hidden="0" customWidth="1"/>
    <x:col min="4" max="4" width="15" hidden="0" customWidth="1"/>
    <x:col min="5" max="5" width="15" hidden="0" customWidth="1"/>
    <x:col min="6" max="6" width="16" hidden="0" customWidth="1"/>
    <x:col min="7" max="7" width="15" hidden="0" customWidth="1"/>
    <x:col min="8" max="8" width="17" hidden="0" customWidth="1"/>
    <x:col min="9" max="9" width="17" hidden="0" customWidth="1"/>
    <x:col min="10" max="10" width="13" hidden="0" customWidth="1"/>
    <x:col min="11" max="11" width="13" hidden="0" customWidth="1"/>
    <x:col min="12" max="12" width="14" hidden="0" customWidth="1"/>
    <x:col min="13" max="13" width="14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22" hidden="0" customWidth="1"/>
  </x:cols>
  <x:sheetData>
    <x:row r="1" ht="31" customHeight="1">
      <x:c r="A1" s="63" t="str">
        <x:v>방향</x:v>
      </x:c>
      <x:c r="B1" s="63" t="str">
        <x:v>집계 단위</x:v>
      </x:c>
      <x:c r="C1" s="63" t="str">
        <x:v>비교셀</x:v>
      </x:c>
      <x:c r="D1" s="63" t="str">
        <x:v>실측 시작</x:v>
      </x:c>
      <x:c r="E1" s="63" t="str">
        <x:v>ME 시작</x:v>
      </x:c>
      <x:c r="F1" s="63" t="str">
        <x:v>시작 Bias(건)</x:v>
      </x:c>
      <x:c r="G1" s="63" t="str">
        <x:v>시작 Bias %</x:v>
      </x:c>
      <x:c r="H1" s="63" t="str">
        <x:v>시작 WAPE %</x:v>
      </x:c>
      <x:c r="I1" s="63" t="str">
        <x:v>시작 MAPE %</x:v>
      </x:c>
      <x:c r="J1" s="63" t="str">
        <x:v>MAPE n</x:v>
      </x:c>
      <x:c r="K1" s="63" t="str">
        <x:v>관측0 n</x:v>
      </x:c>
      <x:c r="L1" s="63" t="str">
        <x:v>시작 MAE</x:v>
      </x:c>
      <x:c r="M1" s="63" t="str">
        <x:v>시작 RMSE</x:v>
      </x:c>
      <x:c r="N1" s="63" t="str">
        <x:v>실측 점유 h</x:v>
      </x:c>
      <x:c r="O1" s="63" t="str">
        <x:v>ME 점유 h</x:v>
      </x:c>
      <x:c r="P1" s="63" t="str">
        <x:v>점유 Bias %</x:v>
      </x:c>
      <x:c r="Q1" s="63" t="str">
        <x:v>점유 WAPE %</x:v>
      </x:c>
      <x:c r="R1" s="63" t="str">
        <x:v>점유 MAPE %</x:v>
      </x:c>
      <x:c r="S1" s="63" t="str">
        <x:v>모델 ALL 시작(진단)</x:v>
      </x:c>
    </x:row>
    <x:row r="2" ht="22" customHeight="1">
      <x:c r="A2" s="68" t="str">
        <x:v>DOWN</x:v>
      </x:c>
      <x:c r="B2" s="68" t="str">
        <x:v>휴게소×일</x:v>
      </x:c>
      <x:c r="C2" s="68" t="n">
        <x:v>150</x:v>
      </x:c>
      <x:c r="D2" s="68" t="n">
        <x:v>4828</x:v>
      </x:c>
      <x:c r="E2" s="68" t="n">
        <x:v>3899</x:v>
      </x:c>
      <x:c r="F2" s="68" t="n">
        <x:v>-929</x:v>
      </x:c>
      <x:c r="G2" s="70" t="n">
        <x:v>-19.241922</x:v>
      </x:c>
      <x:c r="H2" s="70" t="n">
        <x:v>95.671085</x:v>
      </x:c>
      <x:c r="I2" s="70" t="n">
        <x:v>105.2706</x:v>
      </x:c>
      <x:c r="J2" s="68" t="n">
        <x:v>144</x:v>
      </x:c>
      <x:c r="K2" s="68" t="n">
        <x:v>6</x:v>
      </x:c>
      <x:c r="L2" s="72" t="n">
        <x:v>30.793333</x:v>
      </x:c>
      <x:c r="M2" s="72" t="n">
        <x:v>46.172647</x:v>
      </x:c>
      <x:c r="N2" s="72" t="n">
        <x:v>2229.407221666667</x:v>
      </x:c>
      <x:c r="O2" s="72" t="n">
        <x:v>869.7244909</x:v>
      </x:c>
      <x:c r="P2" s="70" t="n">
        <x:v>-60.988532</x:v>
      </x:c>
      <x:c r="Q2" s="70" t="n">
        <x:v>79.375668</x:v>
      </x:c>
      <x:c r="R2" s="70" t="n">
        <x:v>85.2809</x:v>
      </x:c>
      <x:c r="S2" s="68" t="n">
        <x:v>13659</x:v>
      </x:c>
    </x:row>
    <x:row r="3" ht="22" customHeight="1">
      <x:c r="A3" s="68" t="str">
        <x:v>UP</x:v>
      </x:c>
      <x:c r="B3" s="68" t="str">
        <x:v>휴게소×일</x:v>
      </x:c>
      <x:c r="C3" s="68" t="n">
        <x:v>140</x:v>
      </x:c>
      <x:c r="D3" s="68" t="n">
        <x:v>6577</x:v>
      </x:c>
      <x:c r="E3" s="68" t="n">
        <x:v>4514</x:v>
      </x:c>
      <x:c r="F3" s="68" t="n">
        <x:v>-2063</x:v>
      </x:c>
      <x:c r="G3" s="70" t="n">
        <x:v>-31.366885</x:v>
      </x:c>
      <x:c r="H3" s="70" t="n">
        <x:v>65.881101</x:v>
      </x:c>
      <x:c r="I3" s="70" t="n">
        <x:v>81.012195</x:v>
      </x:c>
      <x:c r="J3" s="68" t="n">
        <x:v>140</x:v>
      </x:c>
      <x:c r="K3" s="68" t="n">
        <x:v>0</x:v>
      </x:c>
      <x:c r="L3" s="72" t="n">
        <x:v>30.95</x:v>
      </x:c>
      <x:c r="M3" s="72" t="n">
        <x:v>40.991898</x:v>
      </x:c>
      <x:c r="N3" s="72" t="n">
        <x:v>2911.8488883333334</x:v>
      </x:c>
      <x:c r="O3" s="72" t="n">
        <x:v>909.8364803000001</x:v>
      </x:c>
      <x:c r="P3" s="70" t="n">
        <x:v>-68.753994</x:v>
      </x:c>
      <x:c r="Q3" s="70" t="n">
        <x:v>75.603777</x:v>
      </x:c>
      <x:c r="R3" s="70" t="n">
        <x:v>76.625818</x:v>
      </x:c>
      <x:c r="S3" s="68" t="n">
        <x:v>12447</x:v>
      </x:c>
    </x:row>
    <x:row r="4" ht="22" customHeight="1">
      <x:c r="A4" s="74" t="str">
        <x:v>ALL</x:v>
      </x:c>
      <x:c r="B4" s="74" t="str">
        <x:v>휴게소×일</x:v>
      </x:c>
      <x:c r="C4" s="74" t="n">
        <x:v>290</x:v>
      </x:c>
      <x:c r="D4" s="74" t="n">
        <x:v>11405</x:v>
      </x:c>
      <x:c r="E4" s="74" t="n">
        <x:v>8413</x:v>
      </x:c>
      <x:c r="F4" s="74" t="n">
        <x:v>-2992</x:v>
      </x:c>
      <x:c r="G4" s="75" t="n">
        <x:v>-26.234108</x:v>
      </x:c>
      <x:c r="H4" s="75" t="n">
        <x:v>78.49189</x:v>
      </x:c>
      <x:c r="I4" s="75" t="n">
        <x:v>93.312232</x:v>
      </x:c>
      <x:c r="J4" s="74" t="n">
        <x:v>284</x:v>
      </x:c>
      <x:c r="K4" s="74" t="n">
        <x:v>6</x:v>
      </x:c>
      <x:c r="L4" s="76" t="n">
        <x:v>30.868966</x:v>
      </x:c>
      <x:c r="M4" s="76" t="n">
        <x:v>43.748261</x:v>
      </x:c>
      <x:c r="N4" s="76" t="n">
        <x:v>5141.25611</x:v>
      </x:c>
      <x:c r="O4" s="76" t="n">
        <x:v>1779.5609712</x:v>
      </x:c>
      <x:c r="P4" s="75" t="n">
        <x:v>-65.38665</x:v>
      </x:c>
      <x:c r="Q4" s="75" t="n">
        <x:v>77.239385</x:v>
      </x:c>
      <x:c r="R4" s="75" t="n">
        <x:v>81.014311</x:v>
      </x:c>
      <x:c r="S4" s="74" t="n">
        <x:v>26106</x:v>
      </x:c>
    </x:row>
    <x:row r="5" ht="22" customHeight="1">
      <x:c r="A5" s="68" t="str">
        <x:v>DOWN</x:v>
      </x:c>
      <x:c r="B5" s="68" t="str">
        <x:v>휴게소×시간</x:v>
      </x:c>
      <x:c r="C5" s="68" t="n">
        <x:v>3600</x:v>
      </x:c>
      <x:c r="D5" s="68" t="n">
        <x:v>4828</x:v>
      </x:c>
      <x:c r="E5" s="68" t="n">
        <x:v>3899</x:v>
      </x:c>
      <x:c r="F5" s="68" t="n">
        <x:v>-929</x:v>
      </x:c>
      <x:c r="G5" s="70" t="n">
        <x:v>-19.241922</x:v>
      </x:c>
      <x:c r="H5" s="70" t="n">
        <x:v>112.282519</x:v>
      </x:c>
      <x:c r="I5" s="70" t="n">
        <x:v>111.055924</x:v>
      </x:c>
      <x:c r="J5" s="68" t="n">
        <x:v>1950</x:v>
      </x:c>
      <x:c r="K5" s="68" t="n">
        <x:v>1650</x:v>
      </x:c>
      <x:c r="L5" s="72" t="n">
        <x:v>1.505833</x:v>
      </x:c>
      <x:c r="M5" s="72" t="n">
        <x:v>2.614649</x:v>
      </x:c>
      <x:c r="N5" s="72" t="n">
        <x:v>2229.407221666667</x:v>
      </x:c>
      <x:c r="O5" s="72" t="n">
        <x:v>869.7244909</x:v>
      </x:c>
      <x:c r="P5" s="70" t="n">
        <x:v>-60.988532</x:v>
      </x:c>
      <x:c r="Q5" s="70" t="n">
        <x:v>92.852825</x:v>
      </x:c>
      <x:c r="R5" s="70" t="n">
        <x:v>165.350212</x:v>
      </x:c>
      <x:c r="S5" s="68" t="n">
        <x:v>13659</x:v>
      </x:c>
    </x:row>
    <x:row r="6" ht="22" customHeight="1">
      <x:c r="A6" s="68" t="str">
        <x:v>UP</x:v>
      </x:c>
      <x:c r="B6" s="68" t="str">
        <x:v>휴게소×시간</x:v>
      </x:c>
      <x:c r="C6" s="68" t="n">
        <x:v>3360</x:v>
      </x:c>
      <x:c r="D6" s="68" t="n">
        <x:v>6577</x:v>
      </x:c>
      <x:c r="E6" s="68" t="n">
        <x:v>4514</x:v>
      </x:c>
      <x:c r="F6" s="68" t="n">
        <x:v>-2063</x:v>
      </x:c>
      <x:c r="G6" s="70" t="n">
        <x:v>-31.366885</x:v>
      </x:c>
      <x:c r="H6" s="70" t="n">
        <x:v>88.657443</x:v>
      </x:c>
      <x:c r="I6" s="70" t="n">
        <x:v>93.063922</x:v>
      </x:c>
      <x:c r="J6" s="68" t="n">
        <x:v>2158</x:v>
      </x:c>
      <x:c r="K6" s="68" t="n">
        <x:v>1202</x:v>
      </x:c>
      <x:c r="L6" s="72" t="n">
        <x:v>1.735417</x:v>
      </x:c>
      <x:c r="M6" s="72" t="n">
        <x:v>2.57223</x:v>
      </x:c>
      <x:c r="N6" s="72" t="n">
        <x:v>2911.8488883333334</x:v>
      </x:c>
      <x:c r="O6" s="72" t="n">
        <x:v>909.8364803000001</x:v>
      </x:c>
      <x:c r="P6" s="70" t="n">
        <x:v>-68.753994</x:v>
      </x:c>
      <x:c r="Q6" s="70" t="n">
        <x:v>85.935525</x:v>
      </x:c>
      <x:c r="R6" s="70" t="n">
        <x:v>108.029936</x:v>
      </x:c>
      <x:c r="S6" s="68" t="n">
        <x:v>12447</x:v>
      </x:c>
    </x:row>
    <x:row r="7" ht="22" customHeight="1">
      <x:c r="A7" s="74" t="str">
        <x:v>ALL</x:v>
      </x:c>
      <x:c r="B7" s="74" t="str">
        <x:v>휴게소×시간</x:v>
      </x:c>
      <x:c r="C7" s="74" t="n">
        <x:v>6960</x:v>
      </x:c>
      <x:c r="D7" s="74" t="n">
        <x:v>11405</x:v>
      </x:c>
      <x:c r="E7" s="74" t="n">
        <x:v>8413</x:v>
      </x:c>
      <x:c r="F7" s="74" t="n">
        <x:v>-2992</x:v>
      </x:c>
      <x:c r="G7" s="75" t="n">
        <x:v>-26.234108</x:v>
      </x:c>
      <x:c r="H7" s="75" t="n">
        <x:v>98.658483</x:v>
      </x:c>
      <x:c r="I7" s="75" t="n">
        <x:v>101.604429</x:v>
      </x:c>
      <x:c r="J7" s="74" t="n">
        <x:v>4108</x:v>
      </x:c>
      <x:c r="K7" s="74" t="n">
        <x:v>2852</x:v>
      </x:c>
      <x:c r="L7" s="76" t="n">
        <x:v>1.616667</x:v>
      </x:c>
      <x:c r="M7" s="76" t="n">
        <x:v>2.594258</x:v>
      </x:c>
      <x:c r="N7" s="76" t="n">
        <x:v>5141.25611</x:v>
      </x:c>
      <x:c r="O7" s="76" t="n">
        <x:v>1779.5609712</x:v>
      </x:c>
      <x:c r="P7" s="75" t="n">
        <x:v>-65.38665</x:v>
      </x:c>
      <x:c r="Q7" s="75" t="n">
        <x:v>88.93508</x:v>
      </x:c>
      <x:c r="R7" s="75" t="n">
        <x:v>135.563854</x:v>
      </x:c>
      <x:c r="S7" s="74" t="n">
        <x:v>26106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4" hidden="0" customWidth="1"/>
    <x:col min="7" max="7" width="14" hidden="0" customWidth="1"/>
    <x:col min="8" max="8" width="17" hidden="0" customWidth="1"/>
    <x:col min="9" max="9" width="17" hidden="0" customWidth="1"/>
    <x:col min="10" max="10" width="15" hidden="0" customWidth="1"/>
    <x:col min="11" max="11" width="16" hidden="0" customWidth="1"/>
    <x:col min="12" max="12" width="17" hidden="0" customWidth="1"/>
    <x:col min="13" max="13" width="17" hidden="0" customWidth="1"/>
    <x:col min="14" max="14" width="17" hidden="0" customWidth="1"/>
    <x:col min="15" max="15" width="16" hidden="0" customWidth="1"/>
    <x:col min="16" max="16" width="15" hidden="0" customWidth="1"/>
    <x:col min="17" max="17" width="15" hidden="0" customWidth="1"/>
    <x:col min="18" max="18" width="15" hidden="0" customWidth="1"/>
    <x:col min="19" max="19" width="18" hidden="0" customWidth="1"/>
    <x:col min="20" max="20" width="16" hidden="0" customWidth="1"/>
    <x:col min="21" max="21" width="63" hidden="0" customWidth="1"/>
  </x:cols>
  <x:sheetData>
    <x:row r="1" ht="31" customHeight="1">
      <x:c r="A1" s="63" t="str">
        <x:v>방향</x:v>
      </x:c>
      <x:c r="B1" s="63" t="str">
        <x:v>날짜</x:v>
      </x:c>
      <x:c r="C1" s="63" t="str">
        <x:v>관측 지점수</x:v>
      </x:c>
      <x:c r="D1" s="63" t="str">
        <x:v>실측 시작</x:v>
      </x:c>
      <x:c r="E1" s="63" t="str">
        <x:v>ME 시작</x:v>
      </x:c>
      <x:c r="F1" s="63" t="str">
        <x:v>시작 편향</x:v>
      </x:c>
      <x:c r="G1" s="63" t="str">
        <x:v>Bias %</x:v>
      </x:c>
      <x:c r="H1" s="63" t="str">
        <x:v>일 WAPE %</x:v>
      </x:c>
      <x:c r="I1" s="63" t="str">
        <x:v>일 MAPE %</x:v>
      </x:c>
      <x:c r="J1" s="63" t="str">
        <x:v>MAPE 유효n</x:v>
      </x:c>
      <x:c r="K1" s="63" t="str">
        <x:v>관측 0건 지점</x:v>
      </x:c>
      <x:c r="L1" s="63" t="str">
        <x:v>시간 WAPE %</x:v>
      </x:c>
      <x:c r="M1" s="63" t="str">
        <x:v>시간 MAPE %</x:v>
      </x:c>
      <x:c r="N1" s="63" t="str">
        <x:v>점유 WAPE %</x:v>
      </x:c>
      <x:c r="O1" s="63" t="str">
        <x:v>관측피크 시</x:v>
      </x:c>
      <x:c r="P1" s="63" t="str">
        <x:v>ME피크 시</x:v>
      </x:c>
      <x:c r="Q1" s="63" t="str">
        <x:v>피크 이동(h)</x:v>
      </x:c>
      <x:c r="R1" s="63" t="str">
        <x:v>진입 EV</x:v>
      </x:c>
      <x:c r="S1" s="63" t="str">
        <x:v>충전필요 EV</x:v>
      </x:c>
      <x:c r="T1" s="63" t="str">
        <x:v>ME 익일이월</x:v>
      </x:c>
      <x:c r="U1" s="63" t="str">
        <x:v>Run ID</x:v>
      </x:c>
    </x:row>
    <x:row r="2" ht="22" customHeight="1">
      <x:c r="A2" s="68" t="str">
        <x:v>DOWN</x:v>
      </x:c>
      <x:c r="B2" s="68" t="str">
        <x:v>2026-02-13</x:v>
      </x:c>
      <x:c r="C2" s="68" t="n">
        <x:v>15</x:v>
      </x:c>
      <x:c r="D2" s="68" t="n">
        <x:v>552</x:v>
      </x:c>
      <x:c r="E2" s="68" t="n">
        <x:v>414</x:v>
      </x:c>
      <x:c r="F2" s="68" t="n">
        <x:f>E2-D2</x:f>
        <x:v>-138</x:v>
      </x:c>
      <x:c r="G2" s="70" t="n">
        <x:f>IF(D2=0,"",100*F2/D2)</x:f>
        <x:v>-25</x:v>
      </x:c>
      <x:c r="H2" s="70" t="n">
        <x:v>88.043478</x:v>
      </x:c>
      <x:c r="I2" s="70" t="n">
        <x:v>99.322592</x:v>
      </x:c>
      <x:c r="J2" s="68" t="n">
        <x:v>14</x:v>
      </x:c>
      <x:c r="K2" s="68" t="n">
        <x:v>1</x:v>
      </x:c>
      <x:c r="L2" s="70" t="n">
        <x:v>107.608696</x:v>
      </x:c>
      <x:c r="M2" s="70" t="n">
        <x:v>106.576412</x:v>
      </x:c>
      <x:c r="N2" s="70" t="n">
        <x:v>91.889324</x:v>
      </x:c>
      <x:c r="O2" s="68" t="n">
        <x:v>17</x:v>
      </x:c>
      <x:c r="P2" s="68" t="n">
        <x:v>17</x:v>
      </x:c>
      <x:c r="Q2" s="68" t="n">
        <x:v>0</x:v>
      </x:c>
      <x:c r="R2" s="68" t="n">
        <x:v>18534</x:v>
      </x:c>
      <x:c r="S2" s="68" t="n">
        <x:v>1923</x:v>
      </x:c>
      <x:c r="T2" s="68" t="n">
        <x:v>17</x:v>
      </x:c>
      <x:c r="U2" s="68" t="str">
        <x:v>seollal_2026_down_base__sp364-op-base215__UE__p100__s0007</x:v>
      </x:c>
    </x:row>
    <x:row r="3" ht="22" customHeight="1">
      <x:c r="A3" s="68" t="str">
        <x:v>DOWN</x:v>
      </x:c>
      <x:c r="B3" s="68" t="str">
        <x:v>2026-02-14</x:v>
      </x:c>
      <x:c r="C3" s="68" t="n">
        <x:v>15</x:v>
      </x:c>
      <x:c r="D3" s="68" t="n">
        <x:v>667</x:v>
      </x:c>
      <x:c r="E3" s="68" t="n">
        <x:v>413</x:v>
      </x:c>
      <x:c r="F3" s="68" t="n">
        <x:f>E3-D3</x:f>
        <x:v>-254</x:v>
      </x:c>
      <x:c r="G3" s="70" t="n">
        <x:f>IF(D3=0,"",100*F3/D3)</x:f>
        <x:v>-38.08095952023988</x:v>
      </x:c>
      <x:c r="H3" s="70" t="n">
        <x:v>87.856072</x:v>
      </x:c>
      <x:c r="I3" s="70" t="n">
        <x:v>93.021101</x:v>
      </x:c>
      <x:c r="J3" s="68" t="n">
        <x:v>15</x:v>
      </x:c>
      <x:c r="K3" s="68" t="n">
        <x:v>0</x:v>
      </x:c>
      <x:c r="L3" s="70" t="n">
        <x:v>100.749625</x:v>
      </x:c>
      <x:c r="M3" s="70" t="n">
        <x:v>101.425074</x:v>
      </x:c>
      <x:c r="N3" s="70" t="n">
        <x:v>91.477218</x:v>
      </x:c>
      <x:c r="O3" s="68" t="n">
        <x:v>12</x:v>
      </x:c>
      <x:c r="P3" s="68" t="n">
        <x:v>16</x:v>
      </x:c>
      <x:c r="Q3" s="68" t="n">
        <x:v>4</x:v>
      </x:c>
      <x:c r="R3" s="68" t="n">
        <x:v>18017</x:v>
      </x:c>
      <x:c r="S3" s="68" t="n">
        <x:v>1944</x:v>
      </x:c>
      <x:c r="T3" s="68" t="n">
        <x:v>3</x:v>
      </x:c>
      <x:c r="U3" s="68" t="str">
        <x:v>seollal_2026_down_base__sp364-op-base215__day-2026-02-14__UE__p100__s0007</x:v>
      </x:c>
    </x:row>
    <x:row r="4" ht="22" customHeight="1">
      <x:c r="A4" s="68" t="str">
        <x:v>DOWN</x:v>
      </x:c>
      <x:c r="B4" s="68" t="str">
        <x:v>2026-02-15</x:v>
      </x:c>
      <x:c r="C4" s="68" t="n">
        <x:v>15</x:v>
      </x:c>
      <x:c r="D4" s="68" t="n">
        <x:v>614</x:v>
      </x:c>
      <x:c r="E4" s="68" t="n">
        <x:v>396</x:v>
      </x:c>
      <x:c r="F4" s="68" t="n">
        <x:f>E4-D4</x:f>
        <x:v>-218</x:v>
      </x:c>
      <x:c r="G4" s="70" t="n">
        <x:f>IF(D4=0,"",100*F4/D4)</x:f>
        <x:v>-35.504885993485345</x:v>
      </x:c>
      <x:c r="H4" s="70" t="n">
        <x:v>82.084691</x:v>
      </x:c>
      <x:c r="I4" s="70" t="n">
        <x:v>88.917769</x:v>
      </x:c>
      <x:c r="J4" s="68" t="n">
        <x:v>14</x:v>
      </x:c>
      <x:c r="K4" s="68" t="n">
        <x:v>1</x:v>
      </x:c>
      <x:c r="L4" s="70" t="n">
        <x:v>100.325733</x:v>
      </x:c>
      <x:c r="M4" s="70" t="n">
        <x:v>112.41889</x:v>
      </x:c>
      <x:c r="N4" s="70" t="n">
        <x:v>87.261667</x:v>
      </x:c>
      <x:c r="O4" s="68" t="n">
        <x:v>13</x:v>
      </x:c>
      <x:c r="P4" s="68" t="n">
        <x:v>11</x:v>
      </x:c>
      <x:c r="Q4" s="68" t="n">
        <x:v>-2</x:v>
      </x:c>
      <x:c r="R4" s="68" t="n">
        <x:v>17909</x:v>
      </x:c>
      <x:c r="S4" s="68" t="n">
        <x:v>1941</x:v>
      </x:c>
      <x:c r="T4" s="68" t="n">
        <x:v>13</x:v>
      </x:c>
      <x:c r="U4" s="68" t="str">
        <x:v>seollal_2026_down_base__sp364-op-base215__day-2026-02-15__UE__p100__s0007</x:v>
      </x:c>
    </x:row>
    <x:row r="5" ht="22" customHeight="1">
      <x:c r="A5" s="68" t="str">
        <x:v>DOWN</x:v>
      </x:c>
      <x:c r="B5" s="68" t="str">
        <x:v>2026-02-16</x:v>
      </x:c>
      <x:c r="C5" s="68" t="n">
        <x:v>15</x:v>
      </x:c>
      <x:c r="D5" s="68" t="n">
        <x:v>551</x:v>
      </x:c>
      <x:c r="E5" s="68" t="n">
        <x:v>431</x:v>
      </x:c>
      <x:c r="F5" s="68" t="n">
        <x:f>E5-D5</x:f>
        <x:v>-120</x:v>
      </x:c>
      <x:c r="G5" s="70" t="n">
        <x:f>IF(D5=0,"",100*F5/D5)</x:f>
        <x:v>-21.77858439201452</x:v>
      </x:c>
      <x:c r="H5" s="70" t="n">
        <x:v>95.099819</x:v>
      </x:c>
      <x:c r="I5" s="70" t="n">
        <x:v>107.658347</x:v>
      </x:c>
      <x:c r="J5" s="68" t="n">
        <x:v>14</x:v>
      </x:c>
      <x:c r="K5" s="68" t="n">
        <x:v>1</x:v>
      </x:c>
      <x:c r="L5" s="70" t="n">
        <x:v>107.441016</x:v>
      </x:c>
      <x:c r="M5" s="70" t="n">
        <x:v>119.416239</x:v>
      </x:c>
      <x:c r="N5" s="70" t="n">
        <x:v>91.323093</x:v>
      </x:c>
      <x:c r="O5" s="68" t="n">
        <x:v>11</x:v>
      </x:c>
      <x:c r="P5" s="68" t="n">
        <x:v>13</x:v>
      </x:c>
      <x:c r="Q5" s="68" t="n">
        <x:v>2</x:v>
      </x:c>
      <x:c r="R5" s="68" t="n">
        <x:v>15710</x:v>
      </x:c>
      <x:c r="S5" s="68" t="n">
        <x:v>1873</x:v>
      </x:c>
      <x:c r="T5" s="68" t="n">
        <x:v>7</x:v>
      </x:c>
      <x:c r="U5" s="68" t="str">
        <x:v>seollal_2026_down_base__sp364-op-base215__day-2026-02-16__UE__p100__s0007</x:v>
      </x:c>
    </x:row>
    <x:row r="6" ht="22" customHeight="1">
      <x:c r="A6" s="68" t="str">
        <x:v>DOWN</x:v>
      </x:c>
      <x:c r="B6" s="68" t="str">
        <x:v>2026-02-17</x:v>
      </x:c>
      <x:c r="C6" s="68" t="n">
        <x:v>15</x:v>
      </x:c>
      <x:c r="D6" s="68" t="n">
        <x:v>529</x:v>
      </x:c>
      <x:c r="E6" s="68" t="n">
        <x:v>515</x:v>
      </x:c>
      <x:c r="F6" s="68" t="n">
        <x:f>E6-D6</x:f>
        <x:v>-14</x:v>
      </x:c>
      <x:c r="G6" s="70" t="n">
        <x:f>IF(D6=0,"",100*F6/D6)</x:f>
        <x:v>-2.6465028355387523</x:v>
      </x:c>
      <x:c r="H6" s="70" t="n">
        <x:v>90.359168</x:v>
      </x:c>
      <x:c r="I6" s="70" t="n">
        <x:v>93.06376</x:v>
      </x:c>
      <x:c r="J6" s="68" t="n">
        <x:v>15</x:v>
      </x:c>
      <x:c r="K6" s="68" t="n">
        <x:v>0</x:v>
      </x:c>
      <x:c r="L6" s="70" t="n">
        <x:v>105.860113</x:v>
      </x:c>
      <x:c r="M6" s="70" t="n">
        <x:v>107.945833</x:v>
      </x:c>
      <x:c r="N6" s="70" t="n">
        <x:v>83.323529</x:v>
      </x:c>
      <x:c r="O6" s="68" t="n">
        <x:v>14</x:v>
      </x:c>
      <x:c r="P6" s="68" t="n">
        <x:v>14</x:v>
      </x:c>
      <x:c r="Q6" s="68" t="n">
        <x:v>0</x:v>
      </x:c>
      <x:c r="R6" s="68" t="n">
        <x:v>17364</x:v>
      </x:c>
      <x:c r="S6" s="68" t="n">
        <x:v>2093</x:v>
      </x:c>
      <x:c r="T6" s="68" t="n">
        <x:v>12</x:v>
      </x:c>
      <x:c r="U6" s="68" t="str">
        <x:v>seollal_2026_down_base__sp364-op-base215__day-2026-02-17__UE__p100__s0007</x:v>
      </x:c>
    </x:row>
    <x:row r="7" ht="22" customHeight="1">
      <x:c r="A7" s="68" t="str">
        <x:v>DOWN</x:v>
      </x:c>
      <x:c r="B7" s="68" t="str">
        <x:v>2026-02-18</x:v>
      </x:c>
      <x:c r="C7" s="68" t="n">
        <x:v>15</x:v>
      </x:c>
      <x:c r="D7" s="68" t="n">
        <x:v>349</x:v>
      </x:c>
      <x:c r="E7" s="68" t="n">
        <x:v>411</x:v>
      </x:c>
      <x:c r="F7" s="68" t="n">
        <x:f>E7-D7</x:f>
        <x:v>62</x:v>
      </x:c>
      <x:c r="G7" s="70" t="n">
        <x:f>IF(D7=0,"",100*F7/D7)</x:f>
        <x:v>17.76504297994269</x:v>
      </x:c>
      <x:c r="H7" s="70" t="n">
        <x:v>130.08596</x:v>
      </x:c>
      <x:c r="I7" s="70" t="n">
        <x:v>136.299326</x:v>
      </x:c>
      <x:c r="J7" s="68" t="n">
        <x:v>14</x:v>
      </x:c>
      <x:c r="K7" s="68" t="n">
        <x:v>1</x:v>
      </x:c>
      <x:c r="L7" s="70" t="n">
        <x:v>147.277937</x:v>
      </x:c>
      <x:c r="M7" s="70" t="n">
        <x:v>132.083103</x:v>
      </x:c>
      <x:c r="N7" s="70" t="n">
        <x:v>107.99076</x:v>
      </x:c>
      <x:c r="O7" s="68" t="n">
        <x:v>16</x:v>
      </x:c>
      <x:c r="P7" s="68" t="n">
        <x:v>15</x:v>
      </x:c>
      <x:c r="Q7" s="68" t="n">
        <x:v>-1</x:v>
      </x:c>
      <x:c r="R7" s="68" t="n">
        <x:v>14340</x:v>
      </x:c>
      <x:c r="S7" s="68" t="n">
        <x:v>1537</x:v>
      </x:c>
      <x:c r="T7" s="68" t="n">
        <x:v>9</x:v>
      </x:c>
      <x:c r="U7" s="68" t="str">
        <x:v>seollal_2026_down_base__sp364-op-base215__day-2026-02-18__UE__p100__s0007</x:v>
      </x:c>
    </x:row>
    <x:row r="8" ht="22" customHeight="1">
      <x:c r="A8" s="68" t="str">
        <x:v>DOWN</x:v>
      </x:c>
      <x:c r="B8" s="68" t="str">
        <x:v>2026-02-19</x:v>
      </x:c>
      <x:c r="C8" s="68" t="n">
        <x:v>15</x:v>
      </x:c>
      <x:c r="D8" s="68" t="n">
        <x:v>370</x:v>
      </x:c>
      <x:c r="E8" s="68" t="n">
        <x:v>321</x:v>
      </x:c>
      <x:c r="F8" s="68" t="n">
        <x:f>E8-D8</x:f>
        <x:v>-49</x:v>
      </x:c>
      <x:c r="G8" s="70" t="n">
        <x:f>IF(D8=0,"",100*F8/D8)</x:f>
        <x:v>-13.243243243243244</x:v>
      </x:c>
      <x:c r="H8" s="70" t="n">
        <x:v>105.135135</x:v>
      </x:c>
      <x:c r="I8" s="70" t="n">
        <x:v>115.921383</x:v>
      </x:c>
      <x:c r="J8" s="68" t="n">
        <x:v>15</x:v>
      </x:c>
      <x:c r="K8" s="68" t="n">
        <x:v>0</x:v>
      </x:c>
      <x:c r="L8" s="70" t="n">
        <x:v>122.972973</x:v>
      </x:c>
      <x:c r="M8" s="70" t="n">
        <x:v>109.653996</x:v>
      </x:c>
      <x:c r="N8" s="70" t="n">
        <x:v>96.69226</x:v>
      </x:c>
      <x:c r="O8" s="68" t="n">
        <x:v>12</x:v>
      </x:c>
      <x:c r="P8" s="68" t="n">
        <x:v>10</x:v>
      </x:c>
      <x:c r="Q8" s="68" t="n">
        <x:v>-2</x:v>
      </x:c>
      <x:c r="R8" s="68" t="n">
        <x:v>14662</x:v>
      </x:c>
      <x:c r="S8" s="68" t="n">
        <x:v>1434</x:v>
      </x:c>
      <x:c r="T8" s="68" t="n">
        <x:v>12</x:v>
      </x:c>
      <x:c r="U8" s="68" t="str">
        <x:v>seollal_2026_down_base__sp364-op-base215__day-2026-02-19__UE__p100__s0007</x:v>
      </x:c>
    </x:row>
    <x:row r="9" ht="22" customHeight="1">
      <x:c r="A9" s="68" t="str">
        <x:v>DOWN</x:v>
      </x:c>
      <x:c r="B9" s="68" t="str">
        <x:v>2026-02-20</x:v>
      </x:c>
      <x:c r="C9" s="68" t="n">
        <x:v>15</x:v>
      </x:c>
      <x:c r="D9" s="68" t="n">
        <x:v>440</x:v>
      </x:c>
      <x:c r="E9" s="68" t="n">
        <x:v>342</x:v>
      </x:c>
      <x:c r="F9" s="68" t="n">
        <x:f>E9-D9</x:f>
        <x:v>-98</x:v>
      </x:c>
      <x:c r="G9" s="70" t="n">
        <x:f>IF(D9=0,"",100*F9/D9)</x:f>
        <x:v>-22.272727272727273</x:v>
      </x:c>
      <x:c r="H9" s="70" t="n">
        <x:v>95.454545</x:v>
      </x:c>
      <x:c r="I9" s="70" t="n">
        <x:v>102.158051</x:v>
      </x:c>
      <x:c r="J9" s="68" t="n">
        <x:v>14</x:v>
      </x:c>
      <x:c r="K9" s="68" t="n">
        <x:v>1</x:v>
      </x:c>
      <x:c r="L9" s="70" t="n">
        <x:v>116.363636</x:v>
      </x:c>
      <x:c r="M9" s="70" t="n">
        <x:v>109.815381</x:v>
      </x:c>
      <x:c r="N9" s="70" t="n">
        <x:v>95.481012</x:v>
      </x:c>
      <x:c r="O9" s="68" t="n">
        <x:v>14</x:v>
      </x:c>
      <x:c r="P9" s="68" t="n">
        <x:v>17</x:v>
      </x:c>
      <x:c r="Q9" s="68" t="n">
        <x:v>3</x:v>
      </x:c>
      <x:c r="R9" s="68" t="n">
        <x:v>16121</x:v>
      </x:c>
      <x:c r="S9" s="68" t="n">
        <x:v>1513</x:v>
      </x:c>
      <x:c r="T9" s="68" t="n">
        <x:v>8</x:v>
      </x:c>
      <x:c r="U9" s="68" t="str">
        <x:v>seollal_2026_down_base__sp364-op-base215__day-2026-02-20__UE__p100__s0007</x:v>
      </x:c>
    </x:row>
    <x:row r="10" ht="22" customHeight="1">
      <x:c r="A10" s="68" t="str">
        <x:v>DOWN</x:v>
      </x:c>
      <x:c r="B10" s="68" t="str">
        <x:v>2026-02-21</x:v>
      </x:c>
      <x:c r="C10" s="68" t="n">
        <x:v>15</x:v>
      </x:c>
      <x:c r="D10" s="68" t="n">
        <x:v>422</x:v>
      </x:c>
      <x:c r="E10" s="68" t="n">
        <x:v>332</x:v>
      </x:c>
      <x:c r="F10" s="68" t="n">
        <x:f>E10-D10</x:f>
        <x:v>-90</x:v>
      </x:c>
      <x:c r="G10" s="70" t="n">
        <x:f>IF(D10=0,"",100*F10/D10)</x:f>
        <x:v>-21.327014218009477</x:v>
      </x:c>
      <x:c r="H10" s="70" t="n">
        <x:v>102.843602</x:v>
      </x:c>
      <x:c r="I10" s="70" t="n">
        <x:v>112.994431</x:v>
      </x:c>
      <x:c r="J10" s="68" t="n">
        <x:v>14</x:v>
      </x:c>
      <x:c r="K10" s="68" t="n">
        <x:v>1</x:v>
      </x:c>
      <x:c r="L10" s="70" t="n">
        <x:v>114.218009</x:v>
      </x:c>
      <x:c r="M10" s="70" t="n">
        <x:v>105.799593</x:v>
      </x:c>
      <x:c r="N10" s="70" t="n">
        <x:v>94.104049</x:v>
      </x:c>
      <x:c r="O10" s="68" t="n">
        <x:v>16</x:v>
      </x:c>
      <x:c r="P10" s="68" t="n">
        <x:v>18</x:v>
      </x:c>
      <x:c r="Q10" s="68" t="n">
        <x:v>2</x:v>
      </x:c>
      <x:c r="R10" s="68" t="n">
        <x:v>14558</x:v>
      </x:c>
      <x:c r="S10" s="68" t="n">
        <x:v>1460</x:v>
      </x:c>
      <x:c r="T10" s="68" t="n">
        <x:v>8</x:v>
      </x:c>
      <x:c r="U10" s="68" t="str">
        <x:v>seollal_2026_down_base__sp364-op-base215__day-2026-02-21__UE__p100__s0007</x:v>
      </x:c>
    </x:row>
    <x:row r="11" ht="22" customHeight="1">
      <x:c r="A11" s="68" t="str">
        <x:v>DOWN</x:v>
      </x:c>
      <x:c r="B11" s="68" t="str">
        <x:v>2026-02-22</x:v>
      </x:c>
      <x:c r="C11" s="68" t="n">
        <x:v>15</x:v>
      </x:c>
      <x:c r="D11" s="68" t="n">
        <x:v>334</x:v>
      </x:c>
      <x:c r="E11" s="68" t="n">
        <x:v>324</x:v>
      </x:c>
      <x:c r="F11" s="68" t="n">
        <x:f>E11-D11</x:f>
        <x:v>-10</x:v>
      </x:c>
      <x:c r="G11" s="70" t="n">
        <x:f>IF(D11=0,"",100*F11/D11)</x:f>
        <x:v>-2.9940119760479043</x:v>
      </x:c>
      <x:c r="H11" s="70" t="n">
        <x:v>102.994012</x:v>
      </x:c>
      <x:c r="I11" s="70" t="n">
        <x:v>104.397701</x:v>
      </x:c>
      <x:c r="J11" s="68" t="n">
        <x:v>15</x:v>
      </x:c>
      <x:c r="K11" s="68" t="n">
        <x:v>0</x:v>
      </x:c>
      <x:c r="L11" s="70" t="n">
        <x:v>126.946108</x:v>
      </x:c>
      <x:c r="M11" s="70" t="n">
        <x:v>108.75</x:v>
      </x:c>
      <x:c r="N11" s="70" t="n">
        <x:v>98.98819</x:v>
      </x:c>
      <x:c r="O11" s="68" t="n">
        <x:v>15</x:v>
      </x:c>
      <x:c r="P11" s="68" t="n">
        <x:v>17</x:v>
      </x:c>
      <x:c r="Q11" s="68" t="n">
        <x:v>2</x:v>
      </x:c>
      <x:c r="R11" s="68" t="n">
        <x:v>13283</x:v>
      </x:c>
      <x:c r="S11" s="68" t="n">
        <x:v>1322</x:v>
      </x:c>
      <x:c r="T11" s="68" t="n">
        <x:v>9</x:v>
      </x:c>
      <x:c r="U11" s="68" t="str">
        <x:v>seollal_2026_down_base__sp364-op-base215__day-2026-02-22__UE__p100__s0007</x:v>
      </x:c>
    </x:row>
    <x:row r="12" ht="22" customHeight="1">
      <x:c r="A12" s="68" t="str">
        <x:v>UP</x:v>
      </x:c>
      <x:c r="B12" s="68" t="str">
        <x:v>2026-02-13</x:v>
      </x:c>
      <x:c r="C12" s="68" t="n">
        <x:v>14</x:v>
      </x:c>
      <x:c r="D12" s="68" t="n">
        <x:v>634</x:v>
      </x:c>
      <x:c r="E12" s="68" t="n">
        <x:v>400</x:v>
      </x:c>
      <x:c r="F12" s="68" t="n">
        <x:f>E12-D12</x:f>
        <x:v>-234</x:v>
      </x:c>
      <x:c r="G12" s="70" t="n">
        <x:f>IF(D12=0,"",100*F12/D12)</x:f>
        <x:v>-36.90851735015773</x:v>
      </x:c>
      <x:c r="H12" s="70" t="n">
        <x:v>69.085174</x:v>
      </x:c>
      <x:c r="I12" s="70" t="n">
        <x:v>87.115213</x:v>
      </x:c>
      <x:c r="J12" s="68" t="n">
        <x:v>14</x:v>
      </x:c>
      <x:c r="K12" s="68" t="n">
        <x:v>0</x:v>
      </x:c>
      <x:c r="L12" s="70" t="n">
        <x:v>96.529968</x:v>
      </x:c>
      <x:c r="M12" s="70" t="n">
        <x:v>99.557951</x:v>
      </x:c>
      <x:c r="N12" s="70" t="n">
        <x:v>89.011793</x:v>
      </x:c>
      <x:c r="O12" s="68" t="n">
        <x:v>11</x:v>
      </x:c>
      <x:c r="P12" s="68" t="n">
        <x:v>17</x:v>
      </x:c>
      <x:c r="Q12" s="68" t="n">
        <x:v>6</x:v>
      </x:c>
      <x:c r="R12" s="68" t="n">
        <x:v>17234</x:v>
      </x:c>
      <x:c r="S12" s="68" t="n">
        <x:v>1538</x:v>
      </x:c>
      <x:c r="T12" s="68" t="n">
        <x:v>24</x:v>
      </x:c>
      <x:c r="U12" s="68" t="str">
        <x:v>seollal_2026_up_base__sp364-op-base215__day-2026-02-13__UE__p100__s0007</x:v>
      </x:c>
    </x:row>
    <x:row r="13" ht="22" customHeight="1">
      <x:c r="A13" s="68" t="str">
        <x:v>UP</x:v>
      </x:c>
      <x:c r="B13" s="68" t="str">
        <x:v>2026-02-14</x:v>
      </x:c>
      <x:c r="C13" s="68" t="n">
        <x:v>14</x:v>
      </x:c>
      <x:c r="D13" s="68" t="n">
        <x:v>500</x:v>
      </x:c>
      <x:c r="E13" s="68" t="n">
        <x:v>358</x:v>
      </x:c>
      <x:c r="F13" s="68" t="n">
        <x:f>E13-D13</x:f>
        <x:v>-142</x:v>
      </x:c>
      <x:c r="G13" s="70" t="n">
        <x:f>IF(D13=0,"",100*F13/D13)</x:f>
        <x:v>-28.4</x:v>
      </x:c>
      <x:c r="H13" s="70" t="n">
        <x:v>73.6</x:v>
      </x:c>
      <x:c r="I13" s="70" t="n">
        <x:v>95.413073</x:v>
      </x:c>
      <x:c r="J13" s="68" t="n">
        <x:v>14</x:v>
      </x:c>
      <x:c r="K13" s="68" t="n">
        <x:v>0</x:v>
      </x:c>
      <x:c r="L13" s="70" t="n">
        <x:v>98</x:v>
      </x:c>
      <x:c r="M13" s="70" t="n">
        <x:v>91.57227</x:v>
      </x:c>
      <x:c r="N13" s="70" t="n">
        <x:v>92.913991</x:v>
      </x:c>
      <x:c r="O13" s="68" t="n">
        <x:v>12</x:v>
      </x:c>
      <x:c r="P13" s="68" t="n">
        <x:v>19</x:v>
      </x:c>
      <x:c r="Q13" s="68" t="n">
        <x:v>7</x:v>
      </x:c>
      <x:c r="R13" s="68" t="n">
        <x:v>14466</x:v>
      </x:c>
      <x:c r="S13" s="68" t="n">
        <x:v>1306</x:v>
      </x:c>
      <x:c r="T13" s="68" t="n">
        <x:v>6</x:v>
      </x:c>
      <x:c r="U13" s="68" t="str">
        <x:v>seollal_2026_up_base__sp364-op-base215__day-2026-02-14__UE__p100__s0007</x:v>
      </x:c>
    </x:row>
    <x:row r="14" ht="22" customHeight="1">
      <x:c r="A14" s="68" t="str">
        <x:v>UP</x:v>
      </x:c>
      <x:c r="B14" s="68" t="str">
        <x:v>2026-02-15</x:v>
      </x:c>
      <x:c r="C14" s="68" t="n">
        <x:v>14</x:v>
      </x:c>
      <x:c r="D14" s="68" t="n">
        <x:v>555</x:v>
      </x:c>
      <x:c r="E14" s="68" t="n">
        <x:v>399</x:v>
      </x:c>
      <x:c r="F14" s="68" t="n">
        <x:f>E14-D14</x:f>
        <x:v>-156</x:v>
      </x:c>
      <x:c r="G14" s="70" t="n">
        <x:f>IF(D14=0,"",100*F14/D14)</x:f>
        <x:v>-28.10810810810811</x:v>
      </x:c>
      <x:c r="H14" s="70" t="n">
        <x:v>65.225225</x:v>
      </x:c>
      <x:c r="I14" s="70" t="n">
        <x:v>76.918019</x:v>
      </x:c>
      <x:c r="J14" s="68" t="n">
        <x:v>14</x:v>
      </x:c>
      <x:c r="K14" s="68" t="n">
        <x:v>0</x:v>
      </x:c>
      <x:c r="L14" s="70" t="n">
        <x:v>96.576577</x:v>
      </x:c>
      <x:c r="M14" s="70" t="n">
        <x:v>101.480062</x:v>
      </x:c>
      <x:c r="N14" s="70" t="n">
        <x:v>87.607898</x:v>
      </x:c>
      <x:c r="O14" s="68" t="n">
        <x:v>13</x:v>
      </x:c>
      <x:c r="P14" s="68" t="n">
        <x:v>14</x:v>
      </x:c>
      <x:c r="Q14" s="68" t="n">
        <x:v>1</x:v>
      </x:c>
      <x:c r="R14" s="68" t="n">
        <x:v>14723</x:v>
      </x:c>
      <x:c r="S14" s="68" t="n">
        <x:v>1515</x:v>
      </x:c>
      <x:c r="T14" s="68" t="n">
        <x:v>9</x:v>
      </x:c>
      <x:c r="U14" s="68" t="str">
        <x:v>seollal_2026_up_base__sp364-op-base215__day-2026-02-15__UE__p100__s0007</x:v>
      </x:c>
    </x:row>
    <x:row r="15" ht="22" customHeight="1">
      <x:c r="A15" s="68" t="str">
        <x:v>UP</x:v>
      </x:c>
      <x:c r="B15" s="68" t="str">
        <x:v>2026-02-16</x:v>
      </x:c>
      <x:c r="C15" s="68" t="n">
        <x:v>14</x:v>
      </x:c>
      <x:c r="D15" s="68" t="n">
        <x:v>724</x:v>
      </x:c>
      <x:c r="E15" s="68" t="n">
        <x:v>477</x:v>
      </x:c>
      <x:c r="F15" s="68" t="n">
        <x:f>E15-D15</x:f>
        <x:v>-247</x:v>
      </x:c>
      <x:c r="G15" s="70" t="n">
        <x:f>IF(D15=0,"",100*F15/D15)</x:f>
        <x:v>-34.11602209944751</x:v>
      </x:c>
      <x:c r="H15" s="70" t="n">
        <x:v>53.176796</x:v>
      </x:c>
      <x:c r="I15" s="70" t="n">
        <x:v>62.587566</x:v>
      </x:c>
      <x:c r="J15" s="68" t="n">
        <x:v>14</x:v>
      </x:c>
      <x:c r="K15" s="68" t="n">
        <x:v>0</x:v>
      </x:c>
      <x:c r="L15" s="70" t="n">
        <x:v>76.104972</x:v>
      </x:c>
      <x:c r="M15" s="70" t="n">
        <x:v>83.065884</x:v>
      </x:c>
      <x:c r="N15" s="70" t="n">
        <x:v>79.072537</x:v>
      </x:c>
      <x:c r="O15" s="68" t="n">
        <x:v>16</x:v>
      </x:c>
      <x:c r="P15" s="68" t="n">
        <x:v>13</x:v>
      </x:c>
      <x:c r="Q15" s="68" t="n">
        <x:v>-3</x:v>
      </x:c>
      <x:c r="R15" s="68" t="n">
        <x:v>16005</x:v>
      </x:c>
      <x:c r="S15" s="68" t="n">
        <x:v>1738</x:v>
      </x:c>
      <x:c r="T15" s="68" t="n">
        <x:v>10</x:v>
      </x:c>
      <x:c r="U15" s="68" t="str">
        <x:v>seollal_2026_up_base__sp364-op-base215__day-2026-02-16__UE__p100__s0007</x:v>
      </x:c>
    </x:row>
    <x:row r="16" ht="22" customHeight="1">
      <x:c r="A16" s="68" t="str">
        <x:v>UP</x:v>
      </x:c>
      <x:c r="B16" s="68" t="str">
        <x:v>2026-02-17</x:v>
      </x:c>
      <x:c r="C16" s="68" t="n">
        <x:v>14</x:v>
      </x:c>
      <x:c r="D16" s="68" t="n">
        <x:v>930</x:v>
      </x:c>
      <x:c r="E16" s="68" t="n">
        <x:v>614</x:v>
      </x:c>
      <x:c r="F16" s="68" t="n">
        <x:f>E16-D16</x:f>
        <x:v>-316</x:v>
      </x:c>
      <x:c r="G16" s="70" t="n">
        <x:f>IF(D16=0,"",100*F16/D16)</x:f>
        <x:v>-33.97849462365591</x:v>
      </x:c>
      <x:c r="H16" s="70" t="n">
        <x:v>54.193548</x:v>
      </x:c>
      <x:c r="I16" s="70" t="n">
        <x:v>70.104945</x:v>
      </x:c>
      <x:c r="J16" s="68" t="n">
        <x:v>14</x:v>
      </x:c>
      <x:c r="K16" s="68" t="n">
        <x:v>0</x:v>
      </x:c>
      <x:c r="L16" s="70" t="n">
        <x:v>72.258065</x:v>
      </x:c>
      <x:c r="M16" s="70" t="n">
        <x:v>82.257726</x:v>
      </x:c>
      <x:c r="N16" s="70" t="n">
        <x:v>79.300485</x:v>
      </x:c>
      <x:c r="O16" s="68" t="n">
        <x:v>15</x:v>
      </x:c>
      <x:c r="P16" s="68" t="n">
        <x:v>17</x:v>
      </x:c>
      <x:c r="Q16" s="68" t="n">
        <x:v>2</x:v>
      </x:c>
      <x:c r="R16" s="68" t="n">
        <x:v>19301</x:v>
      </x:c>
      <x:c r="S16" s="68" t="n">
        <x:v>2275</x:v>
      </x:c>
      <x:c r="T16" s="68" t="n">
        <x:v>25</x:v>
      </x:c>
      <x:c r="U16" s="68" t="str">
        <x:v>seollal_2026_up_base__sp364-op-base215__UE__p100__s0007</x:v>
      </x:c>
    </x:row>
    <x:row r="17" ht="22" customHeight="1">
      <x:c r="A17" s="68" t="str">
        <x:v>UP</x:v>
      </x:c>
      <x:c r="B17" s="68" t="str">
        <x:v>2026-02-18</x:v>
      </x:c>
      <x:c r="C17" s="68" t="n">
        <x:v>14</x:v>
      </x:c>
      <x:c r="D17" s="68" t="n">
        <x:v>833</x:v>
      </x:c>
      <x:c r="E17" s="68" t="n">
        <x:v>597</x:v>
      </x:c>
      <x:c r="F17" s="68" t="n">
        <x:f>E17-D17</x:f>
        <x:v>-236</x:v>
      </x:c>
      <x:c r="G17" s="70" t="n">
        <x:f>IF(D17=0,"",100*F17/D17)</x:f>
        <x:v>-28.331332533013207</x:v>
      </x:c>
      <x:c r="H17" s="70" t="n">
        <x:v>66.026411</x:v>
      </x:c>
      <x:c r="I17" s="70" t="n">
        <x:v>77.5668</x:v>
      </x:c>
      <x:c r="J17" s="68" t="n">
        <x:v>14</x:v>
      </x:c>
      <x:c r="K17" s="68" t="n">
        <x:v>0</x:v>
      </x:c>
      <x:c r="L17" s="70" t="n">
        <x:v>87.394958</x:v>
      </x:c>
      <x:c r="M17" s="70" t="n">
        <x:v>103.422976</x:v>
      </x:c>
      <x:c r="N17" s="70" t="n">
        <x:v>82.460625</x:v>
      </x:c>
      <x:c r="O17" s="68" t="n">
        <x:v>13</x:v>
      </x:c>
      <x:c r="P17" s="68" t="n">
        <x:v>17</x:v>
      </x:c>
      <x:c r="Q17" s="68" t="n">
        <x:v>4</x:v>
      </x:c>
      <x:c r="R17" s="68" t="n">
        <x:v>19402</x:v>
      </x:c>
      <x:c r="S17" s="68" t="n">
        <x:v>2149</x:v>
      </x:c>
      <x:c r="T17" s="68" t="n">
        <x:v>20</x:v>
      </x:c>
      <x:c r="U17" s="68" t="str">
        <x:v>seollal_2026_up_base__sp364-op-base215__day-2026-02-18__UE__p100__s0007</x:v>
      </x:c>
    </x:row>
    <x:row r="18" ht="22" customHeight="1">
      <x:c r="A18" s="68" t="str">
        <x:v>UP</x:v>
      </x:c>
      <x:c r="B18" s="68" t="str">
        <x:v>2026-02-19</x:v>
      </x:c>
      <x:c r="C18" s="68" t="n">
        <x:v>14</x:v>
      </x:c>
      <x:c r="D18" s="68" t="n">
        <x:v>623</x:v>
      </x:c>
      <x:c r="E18" s="68" t="n">
        <x:v>490</x:v>
      </x:c>
      <x:c r="F18" s="68" t="n">
        <x:f>E18-D18</x:f>
        <x:v>-133</x:v>
      </x:c>
      <x:c r="G18" s="70" t="n">
        <x:f>IF(D18=0,"",100*F18/D18)</x:f>
        <x:v>-21.348314606741575</x:v>
      </x:c>
      <x:c r="H18" s="70" t="n">
        <x:v>82.985554</x:v>
      </x:c>
      <x:c r="I18" s="70" t="n">
        <x:v>91.817435</x:v>
      </x:c>
      <x:c r="J18" s="68" t="n">
        <x:v>14</x:v>
      </x:c>
      <x:c r="K18" s="68" t="n">
        <x:v>0</x:v>
      </x:c>
      <x:c r="L18" s="70" t="n">
        <x:v>99.678973</x:v>
      </x:c>
      <x:c r="M18" s="70" t="n">
        <x:v>93.251501</x:v>
      </x:c>
      <x:c r="N18" s="70" t="n">
        <x:v>89.174511</x:v>
      </x:c>
      <x:c r="O18" s="68" t="n">
        <x:v>15</x:v>
      </x:c>
      <x:c r="P18" s="68" t="n">
        <x:v>12</x:v>
      </x:c>
      <x:c r="Q18" s="68" t="n">
        <x:v>-3</x:v>
      </x:c>
      <x:c r="R18" s="68" t="n">
        <x:v>16035</x:v>
      </x:c>
      <x:c r="S18" s="68" t="n">
        <x:v>1619</x:v>
      </x:c>
      <x:c r="T18" s="68" t="n">
        <x:v>8</x:v>
      </x:c>
      <x:c r="U18" s="68" t="str">
        <x:v>seollal_2026_up_base__sp364-op-base215__day-2026-02-19__UE__p100__s0007</x:v>
      </x:c>
    </x:row>
    <x:row r="19" ht="22" customHeight="1">
      <x:c r="A19" s="68" t="str">
        <x:v>UP</x:v>
      </x:c>
      <x:c r="B19" s="68" t="str">
        <x:v>2026-02-20</x:v>
      </x:c>
      <x:c r="C19" s="68" t="n">
        <x:v>14</x:v>
      </x:c>
      <x:c r="D19" s="68" t="n">
        <x:v>643</x:v>
      </x:c>
      <x:c r="E19" s="68" t="n">
        <x:v>453</x:v>
      </x:c>
      <x:c r="F19" s="68" t="n">
        <x:f>E19-D19</x:f>
        <x:v>-190</x:v>
      </x:c>
      <x:c r="G19" s="70" t="n">
        <x:f>IF(D19=0,"",100*F19/D19)</x:f>
        <x:v>-29.548989113530325</x:v>
      </x:c>
      <x:c r="H19" s="70" t="n">
        <x:v>74.96112</x:v>
      </x:c>
      <x:c r="I19" s="70" t="n">
        <x:v>105.578164</x:v>
      </x:c>
      <x:c r="J19" s="68" t="n">
        <x:v>14</x:v>
      </x:c>
      <x:c r="K19" s="68" t="n">
        <x:v>0</x:v>
      </x:c>
      <x:c r="L19" s="70" t="n">
        <x:v>94.867807</x:v>
      </x:c>
      <x:c r="M19" s="70" t="n">
        <x:v>90.861442</x:v>
      </x:c>
      <x:c r="N19" s="70" t="n">
        <x:v>93.327014</x:v>
      </x:c>
      <x:c r="O19" s="68" t="n">
        <x:v>12</x:v>
      </x:c>
      <x:c r="P19" s="68" t="n">
        <x:v>18</x:v>
      </x:c>
      <x:c r="Q19" s="68" t="n">
        <x:v>6</x:v>
      </x:c>
      <x:c r="R19" s="68" t="n">
        <x:v>16378</x:v>
      </x:c>
      <x:c r="S19" s="68" t="n">
        <x:v>1482</x:v>
      </x:c>
      <x:c r="T19" s="68" t="n">
        <x:v>11</x:v>
      </x:c>
      <x:c r="U19" s="68" t="str">
        <x:v>seollal_2026_up_base__sp364-op-base215__day-2026-02-20__UE__p100__s0007</x:v>
      </x:c>
    </x:row>
    <x:row r="20" ht="22" customHeight="1">
      <x:c r="A20" s="68" t="str">
        <x:v>UP</x:v>
      </x:c>
      <x:c r="B20" s="68" t="str">
        <x:v>2026-02-21</x:v>
      </x:c>
      <x:c r="C20" s="68" t="n">
        <x:v>14</x:v>
      </x:c>
      <x:c r="D20" s="68" t="n">
        <x:v>575</x:v>
      </x:c>
      <x:c r="E20" s="68" t="n">
        <x:v>387</x:v>
      </x:c>
      <x:c r="F20" s="68" t="n">
        <x:f>E20-D20</x:f>
        <x:v>-188</x:v>
      </x:c>
      <x:c r="G20" s="70" t="n">
        <x:f>IF(D20=0,"",100*F20/D20)</x:f>
        <x:v>-32.69565217391305</x:v>
      </x:c>
      <x:c r="H20" s="70" t="n">
        <x:v>62.608696</x:v>
      </x:c>
      <x:c r="I20" s="70" t="n">
        <x:v>67.834794</x:v>
      </x:c>
      <x:c r="J20" s="68" t="n">
        <x:v>14</x:v>
      </x:c>
      <x:c r="K20" s="68" t="n">
        <x:v>0</x:v>
      </x:c>
      <x:c r="L20" s="70" t="n">
        <x:v>93.217391</x:v>
      </x:c>
      <x:c r="M20" s="70" t="n">
        <x:v>99.660998</x:v>
      </x:c>
      <x:c r="N20" s="70" t="n">
        <x:v>82.755263</x:v>
      </x:c>
      <x:c r="O20" s="68" t="n">
        <x:v>12</x:v>
      </x:c>
      <x:c r="P20" s="68" t="n">
        <x:v>18</x:v>
      </x:c>
      <x:c r="Q20" s="68" t="n">
        <x:v>6</x:v>
      </x:c>
      <x:c r="R20" s="68" t="n">
        <x:v>14788</x:v>
      </x:c>
      <x:c r="S20" s="68" t="n">
        <x:v>1380</x:v>
      </x:c>
      <x:c r="T20" s="68" t="n">
        <x:v>9</x:v>
      </x:c>
      <x:c r="U20" s="68" t="str">
        <x:v>seollal_2026_up_base__sp364-op-base215__day-2026-02-21__UE__p100__s0007</x:v>
      </x:c>
    </x:row>
    <x:row r="21" ht="22" customHeight="1">
      <x:c r="A21" s="68" t="str">
        <x:v>UP</x:v>
      </x:c>
      <x:c r="B21" s="68" t="str">
        <x:v>2026-02-22</x:v>
      </x:c>
      <x:c r="C21" s="68" t="n">
        <x:v>14</x:v>
      </x:c>
      <x:c r="D21" s="68" t="n">
        <x:v>560</x:v>
      </x:c>
      <x:c r="E21" s="68" t="n">
        <x:v>339</x:v>
      </x:c>
      <x:c r="F21" s="68" t="n">
        <x:f>E21-D21</x:f>
        <x:v>-221</x:v>
      </x:c>
      <x:c r="G21" s="70" t="n">
        <x:f>IF(D21=0,"",100*F21/D21)</x:f>
        <x:v>-39.464285714285715</x:v>
      </x:c>
      <x:c r="H21" s="70" t="n">
        <x:v>65.535714</x:v>
      </x:c>
      <x:c r="I21" s="70" t="n">
        <x:v>75.185945</x:v>
      </x:c>
      <x:c r="J21" s="68" t="n">
        <x:v>14</x:v>
      </x:c>
      <x:c r="K21" s="68" t="n">
        <x:v>0</x:v>
      </x:c>
      <x:c r="L21" s="70" t="n">
        <x:v>84.821429</x:v>
      </x:c>
      <x:c r="M21" s="70" t="n">
        <x:v>84.812806</x:v>
      </x:c>
      <x:c r="N21" s="70" t="n">
        <x:v>89.225728</x:v>
      </x:c>
      <x:c r="O21" s="68" t="n">
        <x:v>17</x:v>
      </x:c>
      <x:c r="P21" s="68" t="n">
        <x:v>19</x:v>
      </x:c>
      <x:c r="Q21" s="68" t="n">
        <x:v>2</x:v>
      </x:c>
      <x:c r="R21" s="68" t="n">
        <x:v>13598</x:v>
      </x:c>
      <x:c r="S21" s="68" t="n">
        <x:v>1332</x:v>
      </x:c>
      <x:c r="T21" s="68" t="n">
        <x:v>19</x:v>
      </x:c>
      <x:c r="U21" s="68" t="str">
        <x:v>seollal_2026_up_base__sp364-op-base215__day-2026-02-22__UE__p100__s0007</x:v>
      </x:c>
    </x:row>
  </x:sheetData>
  <x:conditionalFormatting sqref="H2:H21">
    <x:cfRule type="colorScale" priority="1">
      <x:colorScale>
        <x:cfvo type="min"/>
        <x:cfvo type="percentile" val="50"/>
        <x:cfvo type="max"/>
        <x:color rgb="FFE2F4EC"/>
        <x:color rgb="FFFFF4D8"/>
        <x:color rgb="FFFCE8E8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16" hidden="0" customWidth="1"/>
    <x:col min="4" max="4" width="15" hidden="0" customWidth="1"/>
    <x:col min="5" max="5" width="18" hidden="0" customWidth="1"/>
    <x:col min="6" max="6" width="18" hidden="0" customWidth="1"/>
    <x:col min="7" max="7" width="14" hidden="0" customWidth="1"/>
    <x:col min="8" max="8" width="15" hidden="0" customWidth="1"/>
    <x:col min="9" max="9" width="20" hidden="0" customWidth="1"/>
    <x:col min="10" max="10" width="20" hidden="0" customWidth="1"/>
    <x:col min="11" max="11" width="16" hidden="0" customWidth="1"/>
    <x:col min="12" max="12" width="16" hidden="0" customWidth="1"/>
    <x:col min="13" max="13" width="18" hidden="0" customWidth="1"/>
    <x:col min="14" max="14" width="17" hidden="0" customWidth="1"/>
    <x:col min="15" max="15" width="15" hidden="0" customWidth="1"/>
    <x:col min="16" max="16" width="24" hidden="0" customWidth="1"/>
  </x:cols>
  <x:sheetData>
    <x:row r="1" ht="31" customHeight="1">
      <x:c r="A1" s="63" t="str">
        <x:v>방향</x:v>
      </x:c>
      <x:c r="B1" s="63" t="str">
        <x:v>휴게소</x:v>
      </x:c>
      <x:c r="C1" s="63" t="str">
        <x:v>실측 시작</x:v>
      </x:c>
      <x:c r="D1" s="63" t="str">
        <x:v>ME 시작</x:v>
      </x:c>
      <x:c r="E1" s="63" t="str">
        <x:v>NONME 시작</x:v>
      </x:c>
      <x:c r="F1" s="63" t="str">
        <x:v>모델 ALL 시작</x:v>
      </x:c>
      <x:c r="G1" s="63" t="str">
        <x:v>편향</x:v>
      </x:c>
      <x:c r="H1" s="63" t="str">
        <x:v>Bias %</x:v>
      </x:c>
      <x:c r="I1" s="63" t="str">
        <x:v>일별 절대오차 합</x:v>
      </x:c>
      <x:c r="J1" s="63" t="str">
        <x:v>전체오차 기여 %</x:v>
      </x:c>
      <x:c r="K1" s="63" t="str">
        <x:v>일 WAPE %</x:v>
      </x:c>
      <x:c r="L1" s="63" t="str">
        <x:v>일 MAPE %</x:v>
      </x:c>
      <x:c r="M1" s="63" t="str">
        <x:v>실측 점유 h</x:v>
      </x:c>
      <x:c r="N1" s="63" t="str">
        <x:v>ME 점유 h</x:v>
      </x:c>
      <x:c r="O1" s="63" t="str">
        <x:v>점유 Bias %</x:v>
      </x:c>
      <x:c r="P1" s="63" t="str">
        <x:v>ME 시작0 + 관측양수</x:v>
      </x:c>
    </x:row>
    <x:row r="2" ht="22" customHeight="1">
      <x:c r="A2" s="68" t="str">
        <x:v>DOWN</x:v>
      </x:c>
      <x:c r="B2" s="68" t="str">
        <x:v>평사휴게소</x:v>
      </x:c>
      <x:c r="C2" s="68" t="n">
        <x:v>428</x:v>
      </x:c>
      <x:c r="D2" s="68" t="n">
        <x:v>1596</x:v>
      </x:c>
      <x:c r="E2" s="68" t="n">
        <x:v>0</x:v>
      </x:c>
      <x:c r="F2" s="68" t="n">
        <x:v>1596</x:v>
      </x:c>
      <x:c r="G2" s="68" t="n">
        <x:f>D2-C2</x:f>
        <x:v>1168</x:v>
      </x:c>
      <x:c r="H2" s="70" t="n">
        <x:f>IF(C2=0,"",100*G2/C2)</x:f>
        <x:v>272.89719626168227</x:v>
      </x:c>
      <x:c r="I2" s="68" t="n">
        <x:v>1168</x:v>
      </x:c>
      <x:c r="J2" s="70" t="n">
        <x:f>IF(SUM($I$2:$I$30)=0,"",100*I2/SUM($I$2:$I$30))</x:f>
        <x:v>13.047363717605004</x:v>
      </x:c>
      <x:c r="K2" s="70" t="n">
        <x:v>272.897196</x:v>
      </x:c>
      <x:c r="L2" s="70" t="n">
        <x:v>287.360721</x:v>
      </x:c>
      <x:c r="M2" s="80" t="n">
        <x:v>174.15027833333335</x:v>
      </x:c>
      <x:c r="N2" s="80" t="n">
        <x:v>273.6406896</x:v>
      </x:c>
      <x:c r="O2" s="70" t="n">
        <x:f>IF(M2=0,"",100*(N2-M2)/M2)</x:f>
        <x:v>57.12905670827378</x:v>
      </x:c>
      <x:c r="P2" s="68" t="str"/>
    </x:row>
    <x:row r="3" ht="22" customHeight="1">
      <x:c r="A3" s="68" t="str">
        <x:v>DOWN</x:v>
      </x:c>
      <x:c r="B3" s="68" t="str">
        <x:v>칠곡휴게소</x:v>
      </x:c>
      <x:c r="C3" s="68" t="n">
        <x:v>1073</x:v>
      </x:c>
      <x:c r="D3" s="68" t="n">
        <x:v>106</x:v>
      </x:c>
      <x:c r="E3" s="68" t="n">
        <x:v>2290</x:v>
      </x:c>
      <x:c r="F3" s="68" t="n">
        <x:v>2396</x:v>
      </x:c>
      <x:c r="G3" s="68" t="n">
        <x:f>D3-C3</x:f>
        <x:v>-967</x:v>
      </x:c>
      <x:c r="H3" s="70" t="n">
        <x:f>IF(C3=0,"",100*G3/C3)</x:f>
        <x:v>-90.12115563839701</x:v>
      </x:c>
      <x:c r="I3" s="68" t="n">
        <x:v>967</x:v>
      </x:c>
      <x:c r="J3" s="70" t="n">
        <x:f>IF(SUM($I$2:$I$30)=0,"",100*I3/SUM($I$2:$I$30))</x:f>
        <x:v>10.802055406613047</x:v>
      </x:c>
      <x:c r="K3" s="70" t="n">
        <x:v>90.121156</x:v>
      </x:c>
      <x:c r="L3" s="70" t="n">
        <x:v>90.248434</x:v>
      </x:c>
      <x:c r="M3" s="80" t="n">
        <x:v>535.95</x:v>
      </x:c>
      <x:c r="N3" s="80" t="n">
        <x:v>30.21927795</x:v>
      </x:c>
      <x:c r="O3" s="70" t="n">
        <x:f>IF(M3=0,"",100*(N3-M3)/M3)</x:f>
        <x:v>-94.36154903442485</x:v>
      </x:c>
      <x:c r="P3" s="68" t="str"/>
    </x:row>
    <x:row r="4" ht="22" customHeight="1">
      <x:c r="A4" s="68" t="str">
        <x:v>UP</x:v>
      </x:c>
      <x:c r="B4" s="68" t="str">
        <x:v>죽암휴게소</x:v>
      </x:c>
      <x:c r="C4" s="68" t="n">
        <x:v>733</x:v>
      </x:c>
      <x:c r="D4" s="68" t="n">
        <x:v>11</x:v>
      </x:c>
      <x:c r="E4" s="68" t="n">
        <x:v>0</x:v>
      </x:c>
      <x:c r="F4" s="68" t="n">
        <x:v>11</x:v>
      </x:c>
      <x:c r="G4" s="68" t="n">
        <x:f>D4-C4</x:f>
        <x:v>-722</x:v>
      </x:c>
      <x:c r="H4" s="70" t="n">
        <x:f>IF(C4=0,"",100*G4/C4)</x:f>
        <x:v>-98.49931787175989</x:v>
      </x:c>
      <x:c r="I4" s="68" t="n">
        <x:v>722</x:v>
      </x:c>
      <x:c r="J4" s="70" t="n">
        <x:f>IF(SUM($I$2:$I$30)=0,"",100*I4/SUM($I$2:$I$30))</x:f>
        <x:v>8.065236818588025</x:v>
      </x:c>
      <x:c r="K4" s="70" t="n">
        <x:v>98.499318</x:v>
      </x:c>
      <x:c r="L4" s="70" t="n">
        <x:v>98.502274</x:v>
      </x:c>
      <x:c r="M4" s="80" t="n">
        <x:v>324.955</x:v>
      </x:c>
      <x:c r="N4" s="80" t="n">
        <x:v>3.310830033333333</x:v>
      </x:c>
      <x:c r="O4" s="70" t="n">
        <x:f>IF(M4=0,"",100*(N4-M4)/M4)</x:f>
        <x:v>-98.9811419940197</x:v>
      </x:c>
      <x:c r="P4" s="68" t="str"/>
    </x:row>
    <x:row r="5" ht="22" customHeight="1">
      <x:c r="A5" s="68" t="str">
        <x:v>UP</x:v>
      </x:c>
      <x:c r="B5" s="68" t="str">
        <x:v>추풍령휴게소</x:v>
      </x:c>
      <x:c r="C5" s="68" t="n">
        <x:v>321</x:v>
      </x:c>
      <x:c r="D5" s="68" t="n">
        <x:v>1029</x:v>
      </x:c>
      <x:c r="E5" s="68" t="n">
        <x:v>313</x:v>
      </x:c>
      <x:c r="F5" s="68" t="n">
        <x:v>1342</x:v>
      </x:c>
      <x:c r="G5" s="68" t="n">
        <x:f>D5-C5</x:f>
        <x:v>708</x:v>
      </x:c>
      <x:c r="H5" s="70" t="n">
        <x:f>IF(C5=0,"",100*G5/C5)</x:f>
        <x:v>220.5607476635514</x:v>
      </x:c>
      <x:c r="I5" s="68" t="n">
        <x:v>708</x:v>
      </x:c>
      <x:c r="J5" s="70" t="n">
        <x:f>IF(SUM($I$2:$I$30)=0,"",100*I5/SUM($I$2:$I$30))</x:f>
        <x:v>7.908847184986596</x:v>
      </x:c>
      <x:c r="K5" s="70" t="n">
        <x:v>220.560748</x:v>
      </x:c>
      <x:c r="L5" s="70" t="n">
        <x:v>273.454735</x:v>
      </x:c>
      <x:c r="M5" s="80" t="n">
        <x:v>109.25138883333334</x:v>
      </x:c>
      <x:c r="N5" s="80" t="n">
        <x:v>183.75478045</x:v>
      </x:c>
      <x:c r="O5" s="70" t="n">
        <x:f>IF(M5=0,"",100*(N5-M5)/M5)</x:f>
        <x:v>68.19445721676279</x:v>
      </x:c>
      <x:c r="P5" s="68" t="str"/>
    </x:row>
    <x:row r="6" ht="22" customHeight="1">
      <x:c r="A6" s="68" t="str">
        <x:v>UP</x:v>
      </x:c>
      <x:c r="B6" s="68" t="str">
        <x:v>죽전휴게소</x:v>
      </x:c>
      <x:c r="C6" s="68" t="n">
        <x:v>724</x:v>
      </x:c>
      <x:c r="D6" s="68" t="n">
        <x:v>29</x:v>
      </x:c>
      <x:c r="E6" s="68" t="n">
        <x:v>0</x:v>
      </x:c>
      <x:c r="F6" s="68" t="n">
        <x:v>29</x:v>
      </x:c>
      <x:c r="G6" s="68" t="n">
        <x:f>D6-C6</x:f>
        <x:v>-695</x:v>
      </x:c>
      <x:c r="H6" s="70" t="n">
        <x:f>IF(C6=0,"",100*G6/C6)</x:f>
        <x:v>-95.99447513812154</x:v>
      </x:c>
      <x:c r="I6" s="68" t="n">
        <x:v>695</x:v>
      </x:c>
      <x:c r="J6" s="70" t="n">
        <x:f>IF(SUM($I$2:$I$30)=0,"",100*I6/SUM($I$2:$I$30))</x:f>
        <x:v>7.763628239499553</x:v>
      </x:c>
      <x:c r="K6" s="70" t="n">
        <x:v>95.994475</x:v>
      </x:c>
      <x:c r="L6" s="70" t="n">
        <x:v>96.034083</x:v>
      </x:c>
      <x:c r="M6" s="80" t="n">
        <x:v>291.7047221666666</x:v>
      </x:c>
      <x:c r="N6" s="80" t="n">
        <x:v>0.6372487</x:v>
      </x:c>
      <x:c r="O6" s="70" t="n">
        <x:f>IF(M6=0,"",100*(N6-M6)/M6)</x:f>
        <x:v>-99.78154323479347</x:v>
      </x:c>
      <x:c r="P6" s="68" t="str"/>
    </x:row>
    <x:row r="7" ht="22" customHeight="1">
      <x:c r="A7" s="68" t="str">
        <x:v>UP</x:v>
      </x:c>
      <x:c r="B7" s="68" t="str">
        <x:v>천안삼거리휴게소</x:v>
      </x:c>
      <x:c r="C7" s="68" t="n">
        <x:v>1107</x:v>
      </x:c>
      <x:c r="D7" s="68" t="n">
        <x:v>606</x:v>
      </x:c>
      <x:c r="E7" s="68" t="n">
        <x:v>0</x:v>
      </x:c>
      <x:c r="F7" s="68" t="n">
        <x:v>606</x:v>
      </x:c>
      <x:c r="G7" s="68" t="n">
        <x:f>D7-C7</x:f>
        <x:v>-501</x:v>
      </x:c>
      <x:c r="H7" s="70" t="n">
        <x:f>IF(C7=0,"",100*G7/C7)</x:f>
        <x:v>-45.25745257452574</x:v>
      </x:c>
      <x:c r="I7" s="68" t="n">
        <x:v>501</x:v>
      </x:c>
      <x:c r="J7" s="70" t="n">
        <x:f>IF(SUM($I$2:$I$30)=0,"",100*I7/SUM($I$2:$I$30))</x:f>
        <x:v>5.596514745308311</x:v>
      </x:c>
      <x:c r="K7" s="70" t="n">
        <x:v>45.257453</x:v>
      </x:c>
      <x:c r="L7" s="70" t="n">
        <x:v>45.121841</x:v>
      </x:c>
      <x:c r="M7" s="80" t="n">
        <x:v>498.079999</x:v>
      </x:c>
      <x:c r="N7" s="80" t="n">
        <x:v>118.21115438333332</x:v>
      </x:c>
      <x:c r="O7" s="70" t="n">
        <x:f>IF(M7=0,"",100*(N7-M7)/M7)</x:f>
        <x:v>-76.26663294638071</x:v>
      </x:c>
      <x:c r="P7" s="68" t="str"/>
    </x:row>
    <x:row r="8" ht="22" customHeight="1">
      <x:c r="A8" s="68" t="str">
        <x:v>UP</x:v>
      </x:c>
      <x:c r="B8" s="68" t="str">
        <x:v>안성휴게소</x:v>
      </x:c>
      <x:c r="C8" s="68" t="n">
        <x:v>480</x:v>
      </x:c>
      <x:c r="D8" s="68" t="n">
        <x:v>6</x:v>
      </x:c>
      <x:c r="E8" s="68" t="n">
        <x:v>2400</x:v>
      </x:c>
      <x:c r="F8" s="68" t="n">
        <x:v>2406</x:v>
      </x:c>
      <x:c r="G8" s="68" t="n">
        <x:f>D8-C8</x:f>
        <x:v>-474</x:v>
      </x:c>
      <x:c r="H8" s="70" t="n">
        <x:f>IF(C8=0,"",100*G8/C8)</x:f>
        <x:v>-98.75</x:v>
      </x:c>
      <x:c r="I8" s="68" t="n">
        <x:v>474</x:v>
      </x:c>
      <x:c r="J8" s="70" t="n">
        <x:f>IF(SUM($I$2:$I$30)=0,"",100*I8/SUM($I$2:$I$30))</x:f>
        <x:v>5.294906166219839</x:v>
      </x:c>
      <x:c r="K8" s="70" t="n">
        <x:v>98.75</x:v>
      </x:c>
      <x:c r="L8" s="70" t="n">
        <x:v>98.236364</x:v>
      </x:c>
      <x:c r="M8" s="80" t="n">
        <x:v>207.98833316666665</x:v>
      </x:c>
      <x:c r="N8" s="80" t="n">
        <x:v>0.3057488</x:v>
      </x:c>
      <x:c r="O8" s="70" t="n">
        <x:f>IF(M8=0,"",100*(N8-M8)/M8)</x:f>
        <x:v>-99.85299713914482</x:v>
      </x:c>
      <x:c r="P8" s="68" t="str"/>
    </x:row>
    <x:row r="9" ht="22" customHeight="1">
      <x:c r="A9" s="68" t="str">
        <x:v>DOWN</x:v>
      </x:c>
      <x:c r="B9" s="68" t="str">
        <x:v>추풍령휴게소</x:v>
      </x:c>
      <x:c r="C9" s="68" t="n">
        <x:v>199</x:v>
      </x:c>
      <x:c r="D9" s="68" t="n">
        <x:v>633</x:v>
      </x:c>
      <x:c r="E9" s="68" t="n">
        <x:v>202</x:v>
      </x:c>
      <x:c r="F9" s="68" t="n">
        <x:v>835</x:v>
      </x:c>
      <x:c r="G9" s="68" t="n">
        <x:f>D9-C9</x:f>
        <x:v>434</x:v>
      </x:c>
      <x:c r="H9" s="70" t="n">
        <x:f>IF(C9=0,"",100*G9/C9)</x:f>
        <x:v>218.09045226130652</x:v>
      </x:c>
      <x:c r="I9" s="68" t="n">
        <x:v>434</x:v>
      </x:c>
      <x:c r="J9" s="70" t="n">
        <x:f>IF(SUM($I$2:$I$30)=0,"",100*I9/SUM($I$2:$I$30))</x:f>
        <x:v>4.848078641644325</x:v>
      </x:c>
      <x:c r="K9" s="70" t="n">
        <x:v>218.090452</x:v>
      </x:c>
      <x:c r="L9" s="70" t="n">
        <x:v>240.229411</x:v>
      </x:c>
      <x:c r="M9" s="80" t="n">
        <x:v>85.711389</x:v>
      </x:c>
      <x:c r="N9" s="80" t="n">
        <x:v>176.02540508333334</x:v>
      </x:c>
      <x:c r="O9" s="70" t="n">
        <x:f>IF(M9=0,"",100*(N9-M9)/M9)</x:f>
        <x:v>105.36991307343455</x:v>
      </x:c>
      <x:c r="P9" s="68" t="str"/>
    </x:row>
    <x:row r="10" ht="22" customHeight="1">
      <x:c r="A10" s="68" t="str">
        <x:v>DOWN</x:v>
      </x:c>
      <x:c r="B10" s="68" t="str">
        <x:v>천안호두휴게소</x:v>
      </x:c>
      <x:c r="C10" s="68" t="n">
        <x:v>393</x:v>
      </x:c>
      <x:c r="D10" s="68" t="n">
        <x:v>1</x:v>
      </x:c>
      <x:c r="E10" s="68" t="n">
        <x:v>284</x:v>
      </x:c>
      <x:c r="F10" s="68" t="n">
        <x:v>285</x:v>
      </x:c>
      <x:c r="G10" s="68" t="n">
        <x:f>D10-C10</x:f>
        <x:v>-392</x:v>
      </x:c>
      <x:c r="H10" s="70" t="n">
        <x:f>IF(C10=0,"",100*G10/C10)</x:f>
        <x:v>-99.74554707379134</x:v>
      </x:c>
      <x:c r="I10" s="68" t="n">
        <x:v>392</x:v>
      </x:c>
      <x:c r="J10" s="70" t="n">
        <x:f>IF(SUM($I$2:$I$30)=0,"",100*I10/SUM($I$2:$I$30))</x:f>
        <x:v>4.378909740840036</x:v>
      </x:c>
      <x:c r="K10" s="70" t="n">
        <x:v>99.745547</x:v>
      </x:c>
      <x:c r="L10" s="70" t="n">
        <x:v>99.722222</x:v>
      </x:c>
      <x:c r="M10" s="80" t="n">
        <x:v>174.18027733333332</x:v>
      </x:c>
      <x:c r="N10" s="80" t="n">
        <x:v>0.25997506666666664</x:v>
      </x:c>
      <x:c r="O10" s="70" t="n">
        <x:f>IF(M10=0,"",100*(N10-M10)/M10)</x:f>
        <x:v>-99.85074368312713</x:v>
      </x:c>
      <x:c r="P10" s="68" t="str"/>
    </x:row>
    <x:row r="11" ht="22" customHeight="1">
      <x:c r="A11" s="68" t="str">
        <x:v>DOWN</x:v>
      </x:c>
      <x:c r="B11" s="68" t="str">
        <x:v>안성휴게소</x:v>
      </x:c>
      <x:c r="C11" s="68" t="n">
        <x:v>344</x:v>
      </x:c>
      <x:c r="D11" s="68" t="n">
        <x:v>39</x:v>
      </x:c>
      <x:c r="E11" s="68" t="n">
        <x:v>1552</x:v>
      </x:c>
      <x:c r="F11" s="68" t="n">
        <x:v>1591</x:v>
      </x:c>
      <x:c r="G11" s="68" t="n">
        <x:f>D11-C11</x:f>
        <x:v>-305</x:v>
      </x:c>
      <x:c r="H11" s="70" t="n">
        <x:f>IF(C11=0,"",100*G11/C11)</x:f>
        <x:v>-88.66279069767442</x:v>
      </x:c>
      <x:c r="I11" s="68" t="n">
        <x:v>305</x:v>
      </x:c>
      <x:c r="J11" s="70" t="n">
        <x:f>IF(SUM($I$2:$I$30)=0,"",100*I11/SUM($I$2:$I$30))</x:f>
        <x:v>3.407059874888293</x:v>
      </x:c>
      <x:c r="K11" s="70" t="n">
        <x:v>88.662791</x:v>
      </x:c>
      <x:c r="L11" s="70" t="n">
        <x:v>88.574067</x:v>
      </x:c>
      <x:c r="M11" s="80" t="n">
        <x:v>166.221666</x:v>
      </x:c>
      <x:c r="N11" s="80" t="n">
        <x:v>3.9466228</x:v>
      </x:c>
      <x:c r="O11" s="70" t="n">
        <x:f>IF(M11=0,"",100*(N11-M11)/M11)</x:f>
        <x:v>-97.62568689451109</x:v>
      </x:c>
      <x:c r="P11" s="68" t="str"/>
    </x:row>
    <x:row r="12" ht="22" customHeight="1">
      <x:c r="A12" s="68" t="str">
        <x:v>UP</x:v>
      </x:c>
      <x:c r="B12" s="68" t="str">
        <x:v>청주휴게소</x:v>
      </x:c>
      <x:c r="C12" s="68" t="n">
        <x:v>284</x:v>
      </x:c>
      <x:c r="D12" s="68" t="n">
        <x:v>1</x:v>
      </x:c>
      <x:c r="E12" s="68" t="n">
        <x:v>916</x:v>
      </x:c>
      <x:c r="F12" s="68" t="n">
        <x:v>917</x:v>
      </x:c>
      <x:c r="G12" s="68" t="n">
        <x:f>D12-C12</x:f>
        <x:v>-283</x:v>
      </x:c>
      <x:c r="H12" s="70" t="n">
        <x:f>IF(C12=0,"",100*G12/C12)</x:f>
        <x:v>-99.64788732394366</x:v>
      </x:c>
      <x:c r="I12" s="68" t="n">
        <x:v>283</x:v>
      </x:c>
      <x:c r="J12" s="70" t="n">
        <x:f>IF(SUM($I$2:$I$30)=0,"",100*I12/SUM($I$2:$I$30))</x:f>
        <x:v>3.1613047363717603</x:v>
      </x:c>
      <x:c r="K12" s="70" t="n">
        <x:v>99.647887</x:v>
      </x:c>
      <x:c r="L12" s="70" t="n">
        <x:v>99.824561</x:v>
      </x:c>
      <x:c r="M12" s="80" t="n">
        <x:v>121.15999933333333</x:v>
      </x:c>
      <x:c r="N12" s="80" t="n">
        <x:v>0.0191146</x:v>
      </x:c>
      <x:c r="O12" s="70" t="n">
        <x:f>IF(M12=0,"",100*(N12-M12)/M12)</x:f>
        <x:v>-99.9842236710918</x:v>
      </x:c>
      <x:c r="P12" s="68" t="str"/>
    </x:row>
    <x:row r="13" ht="22" customHeight="1">
      <x:c r="A13" s="68" t="str">
        <x:v>DOWN</x:v>
      </x:c>
      <x:c r="B13" s="68" t="str">
        <x:v>금강휴게소</x:v>
      </x:c>
      <x:c r="C13" s="68" t="n">
        <x:v>265</x:v>
      </x:c>
      <x:c r="D13" s="68" t="n">
        <x:v>13</x:v>
      </x:c>
      <x:c r="E13" s="68" t="n">
        <x:v>0</x:v>
      </x:c>
      <x:c r="F13" s="68" t="n">
        <x:v>13</x:v>
      </x:c>
      <x:c r="G13" s="68" t="n">
        <x:f>D13-C13</x:f>
        <x:v>-252</x:v>
      </x:c>
      <x:c r="H13" s="70" t="n">
        <x:f>IF(C13=0,"",100*G13/C13)</x:f>
        <x:v>-95.09433962264151</x:v>
      </x:c>
      <x:c r="I13" s="68" t="n">
        <x:v>252</x:v>
      </x:c>
      <x:c r="J13" s="70" t="n">
        <x:f>IF(SUM($I$2:$I$30)=0,"",100*I13/SUM($I$2:$I$30))</x:f>
        <x:v>2.8150134048257374</x:v>
      </x:c>
      <x:c r="K13" s="70" t="n">
        <x:v>95.09434</x:v>
      </x:c>
      <x:c r="L13" s="70" t="n">
        <x:v>95.162266</x:v>
      </x:c>
      <x:c r="M13" s="80" t="n">
        <x:v>136.64638933333333</x:v>
      </x:c>
      <x:c r="N13" s="80" t="n">
        <x:v>16.734522583333334</x:v>
      </x:c>
      <x:c r="O13" s="70" t="n">
        <x:f>IF(M13=0,"",100*(N13-M13)/M13)</x:f>
        <x:v>-87.7534103425804</x:v>
      </x:c>
      <x:c r="P13" s="68" t="str"/>
    </x:row>
    <x:row r="14" ht="22" customHeight="1">
      <x:c r="A14" s="68" t="str">
        <x:v>DOWN</x:v>
      </x:c>
      <x:c r="B14" s="68" t="str">
        <x:v>건천휴게소</x:v>
      </x:c>
      <x:c r="C14" s="68" t="n">
        <x:v>748</x:v>
      </x:c>
      <x:c r="D14" s="68" t="n">
        <x:v>616</x:v>
      </x:c>
      <x:c r="E14" s="68" t="n">
        <x:v>0</x:v>
      </x:c>
      <x:c r="F14" s="68" t="n">
        <x:v>616</x:v>
      </x:c>
      <x:c r="G14" s="68" t="n">
        <x:f>D14-C14</x:f>
        <x:v>-132</x:v>
      </x:c>
      <x:c r="H14" s="70" t="n">
        <x:f>IF(C14=0,"",100*G14/C14)</x:f>
        <x:v>-17.647058823529413</x:v>
      </x:c>
      <x:c r="I14" s="68" t="n">
        <x:v>210</x:v>
      </x:c>
      <x:c r="J14" s="70" t="n">
        <x:f>IF(SUM($I$2:$I$30)=0,"",100*I14/SUM($I$2:$I$30))</x:f>
        <x:v>2.3458445040214477</x:v>
      </x:c>
      <x:c r="K14" s="70" t="n">
        <x:v>28.074866</x:v>
      </x:c>
      <x:c r="L14" s="70" t="n">
        <x:v>28.642873</x:v>
      </x:c>
      <x:c r="M14" s="80" t="n">
        <x:v>314.71222166666666</x:v>
      </x:c>
      <x:c r="N14" s="80" t="n">
        <x:v>110.49035268333334</x:v>
      </x:c>
      <x:c r="O14" s="70" t="n">
        <x:f>IF(M14=0,"",100*(N14-M14)/M14)</x:f>
        <x:v>-64.89162317936248</x:v>
      </x:c>
      <x:c r="P14" s="68" t="str"/>
    </x:row>
    <x:row r="15" ht="22" customHeight="1">
      <x:c r="A15" s="68" t="str">
        <x:v>DOWN</x:v>
      </x:c>
      <x:c r="B15" s="68" t="str">
        <x:v>통도사휴게소</x:v>
      </x:c>
      <x:c r="C15" s="68" t="n">
        <x:v>205</x:v>
      </x:c>
      <x:c r="D15" s="68" t="n">
        <x:v>0</x:v>
      </x:c>
      <x:c r="E15" s="68" t="n">
        <x:v>58</x:v>
      </x:c>
      <x:c r="F15" s="68" t="n">
        <x:v>58</x:v>
      </x:c>
      <x:c r="G15" s="68" t="n">
        <x:f>D15-C15</x:f>
        <x:v>-205</x:v>
      </x:c>
      <x:c r="H15" s="70" t="n">
        <x:f>IF(C15=0,"",100*G15/C15)</x:f>
        <x:v>-100</x:v>
      </x:c>
      <x:c r="I15" s="68" t="n">
        <x:v>205</x:v>
      </x:c>
      <x:c r="J15" s="70" t="n">
        <x:f>IF(SUM($I$2:$I$30)=0,"",100*I15/SUM($I$2:$I$30))</x:f>
        <x:v>2.2899910634495084</x:v>
      </x:c>
      <x:c r="K15" s="70" t="n">
        <x:v>100</x:v>
      </x:c>
      <x:c r="L15" s="70" t="n">
        <x:v>100</x:v>
      </x:c>
      <x:c r="M15" s="80" t="n">
        <x:v>93.38361166666667</x:v>
      </x:c>
      <x:c r="N15" s="80" t="n">
        <x:v>0</x:v>
      </x:c>
      <x:c r="O15" s="70" t="n">
        <x:f>IF(M15=0,"",100*(N15-M15)/M15)</x:f>
        <x:v>-100.00000000000001</x:v>
      </x:c>
      <x:c r="P15" s="68" t="str">
        <x:v>확인 필요</x:v>
      </x:c>
    </x:row>
    <x:row r="16" ht="22" customHeight="1">
      <x:c r="A16" s="68" t="str">
        <x:v>UP</x:v>
      </x:c>
      <x:c r="B16" s="68" t="str">
        <x:v>건천휴게소</x:v>
      </x:c>
      <x:c r="C16" s="68" t="n">
        <x:v>543</x:v>
      </x:c>
      <x:c r="D16" s="68" t="n">
        <x:v>340</x:v>
      </x:c>
      <x:c r="E16" s="68" t="n">
        <x:v>0</x:v>
      </x:c>
      <x:c r="F16" s="68" t="n">
        <x:v>340</x:v>
      </x:c>
      <x:c r="G16" s="68" t="n">
        <x:f>D16-C16</x:f>
        <x:v>-203</x:v>
      </x:c>
      <x:c r="H16" s="70" t="n">
        <x:f>IF(C16=0,"",100*G16/C16)</x:f>
        <x:v>-37.38489871086556</x:v>
      </x:c>
      <x:c r="I16" s="68" t="n">
        <x:v>203</x:v>
      </x:c>
      <x:c r="J16" s="70" t="n">
        <x:f>IF(SUM($I$2:$I$30)=0,"",100*I16/SUM($I$2:$I$30))</x:f>
        <x:v>2.267649687220733</x:v>
      </x:c>
      <x:c r="K16" s="70" t="n">
        <x:v>37.384899</x:v>
      </x:c>
      <x:c r="L16" s="70" t="n">
        <x:v>37.574097</x:v>
      </x:c>
      <x:c r="M16" s="80" t="n">
        <x:v>271.33111083333336</x:v>
      </x:c>
      <x:c r="N16" s="80" t="n">
        <x:v>143.08926549999998</x:v>
      </x:c>
      <x:c r="O16" s="70" t="n">
        <x:f>IF(M16=0,"",100*(N16-M16)/M16)</x:f>
        <x:v>-47.263966501838645</x:v>
      </x:c>
      <x:c r="P16" s="68" t="str"/>
    </x:row>
    <x:row r="17" ht="22" customHeight="1">
      <x:c r="A17" s="68" t="str">
        <x:v>UP</x:v>
      </x:c>
      <x:c r="B17" s="68" t="str">
        <x:v>신탄진휴게소</x:v>
      </x:c>
      <x:c r="C17" s="68" t="n">
        <x:v>893</x:v>
      </x:c>
      <x:c r="D17" s="68" t="n">
        <x:v>1020</x:v>
      </x:c>
      <x:c r="E17" s="68" t="n">
        <x:v>185</x:v>
      </x:c>
      <x:c r="F17" s="68" t="n">
        <x:v>1205</x:v>
      </x:c>
      <x:c r="G17" s="68" t="n">
        <x:f>D17-C17</x:f>
        <x:v>127</x:v>
      </x:c>
      <x:c r="H17" s="70" t="n">
        <x:f>IF(C17=0,"",100*G17/C17)</x:f>
        <x:v>14.221724524076148</x:v>
      </x:c>
      <x:c r="I17" s="68" t="n">
        <x:v>189</x:v>
      </x:c>
      <x:c r="J17" s="70" t="n">
        <x:f>IF(SUM($I$2:$I$30)=0,"",100*I17/SUM($I$2:$I$30))</x:f>
        <x:v>2.111260053619303</x:v>
      </x:c>
      <x:c r="K17" s="70" t="n">
        <x:v>21.164614</x:v>
      </x:c>
      <x:c r="L17" s="70" t="n">
        <x:v>22.752572</x:v>
      </x:c>
      <x:c r="M17" s="80" t="n">
        <x:v>410.35888950000003</x:v>
      </x:c>
      <x:c r="N17" s="80" t="n">
        <x:v>127.96603350000001</x:v>
      </x:c>
      <x:c r="O17" s="70" t="n">
        <x:f>IF(M17=0,"",100*(N17-M17)/M17)</x:f>
        <x:v>-68.81606886695701</x:v>
      </x:c>
      <x:c r="P17" s="68" t="str"/>
    </x:row>
    <x:row r="18" ht="22" customHeight="1">
      <x:c r="A18" s="68" t="str">
        <x:v>DOWN</x:v>
      </x:c>
      <x:c r="B18" s="68" t="str">
        <x:v>옥산휴게소</x:v>
      </x:c>
      <x:c r="C18" s="68" t="n">
        <x:v>344</x:v>
      </x:c>
      <x:c r="D18" s="68" t="n">
        <x:v>517</x:v>
      </x:c>
      <x:c r="E18" s="68" t="n">
        <x:v>94</x:v>
      </x:c>
      <x:c r="F18" s="68" t="n">
        <x:v>611</x:v>
      </x:c>
      <x:c r="G18" s="68" t="n">
        <x:f>D18-C18</x:f>
        <x:v>173</x:v>
      </x:c>
      <x:c r="H18" s="70" t="n">
        <x:f>IF(C18=0,"",100*G18/C18)</x:f>
        <x:v>50.2906976744186</x:v>
      </x:c>
      <x:c r="I18" s="68" t="n">
        <x:v>185</x:v>
      </x:c>
      <x:c r="J18" s="70" t="n">
        <x:f>IF(SUM($I$2:$I$30)=0,"",100*I18/SUM($I$2:$I$30))</x:f>
        <x:v>2.0665773011617516</x:v>
      </x:c>
      <x:c r="K18" s="70" t="n">
        <x:v>53.77907</x:v>
      </x:c>
      <x:c r="L18" s="70" t="n">
        <x:v>66.002953</x:v>
      </x:c>
      <x:c r="M18" s="80" t="n">
        <x:v>164.49111066666669</x:v>
      </x:c>
      <x:c r="N18" s="80" t="n">
        <x:v>136.66149843333332</x:v>
      </x:c>
      <x:c r="O18" s="70" t="n">
        <x:f>IF(M18=0,"",100*(N18-M18)/M18)</x:f>
        <x:v>-16.918611662686583</x:v>
      </x:c>
      <x:c r="P18" s="68" t="str"/>
    </x:row>
    <x:row r="19" ht="22" customHeight="1">
      <x:c r="A19" s="68" t="str">
        <x:v>DOWN</x:v>
      </x:c>
      <x:c r="B19" s="68" t="str">
        <x:v>서울하이패스센터쉼터</x:v>
      </x:c>
      <x:c r="C19" s="68" t="n">
        <x:v>176</x:v>
      </x:c>
      <x:c r="D19" s="68" t="n">
        <x:v>14</x:v>
      </x:c>
      <x:c r="E19" s="68" t="n">
        <x:v>0</x:v>
      </x:c>
      <x:c r="F19" s="68" t="n">
        <x:v>14</x:v>
      </x:c>
      <x:c r="G19" s="68" t="n">
        <x:f>D19-C19</x:f>
        <x:v>-162</x:v>
      </x:c>
      <x:c r="H19" s="70" t="n">
        <x:f>IF(C19=0,"",100*G19/C19)</x:f>
        <x:v>-92.04545454545455</x:v>
      </x:c>
      <x:c r="I19" s="68" t="n">
        <x:v>162</x:v>
      </x:c>
      <x:c r="J19" s="70" t="n">
        <x:f>IF(SUM($I$2:$I$30)=0,"",100*I19/SUM($I$2:$I$30))</x:f>
        <x:v>1.8096514745308312</x:v>
      </x:c>
      <x:c r="K19" s="70" t="n">
        <x:v>92.045455</x:v>
      </x:c>
      <x:c r="L19" s="70" t="n">
        <x:v>92.409793</x:v>
      </x:c>
      <x:c r="M19" s="80" t="n">
        <x:v>75.66888866666666</x:v>
      </x:c>
      <x:c r="N19" s="80" t="n">
        <x:v>1.6964095833333335</x:v>
      </x:c>
      <x:c r="O19" s="70" t="n">
        <x:f>IF(M19=0,"",100*(N19-M19)/M19)</x:f>
        <x:v>-97.75811484320025</x:v>
      </x:c>
      <x:c r="P19" s="68" t="str"/>
    </x:row>
    <x:row r="20" ht="22" customHeight="1">
      <x:c r="A20" s="68" t="str">
        <x:v>UP</x:v>
      </x:c>
      <x:c r="B20" s="68" t="str">
        <x:v>양산휴게소</x:v>
      </x:c>
      <x:c r="C20" s="68" t="n">
        <x:v>140</x:v>
      </x:c>
      <x:c r="D20" s="68" t="n">
        <x:v>0</x:v>
      </x:c>
      <x:c r="E20" s="68" t="n">
        <x:v>310</x:v>
      </x:c>
      <x:c r="F20" s="68" t="n">
        <x:v>310</x:v>
      </x:c>
      <x:c r="G20" s="68" t="n">
        <x:f>D20-C20</x:f>
        <x:v>-140</x:v>
      </x:c>
      <x:c r="H20" s="70" t="n">
        <x:f>IF(C20=0,"",100*G20/C20)</x:f>
        <x:v>-100</x:v>
      </x:c>
      <x:c r="I20" s="68" t="n">
        <x:v>140</x:v>
      </x:c>
      <x:c r="J20" s="70" t="n">
        <x:f>IF(SUM($I$2:$I$30)=0,"",100*I20/SUM($I$2:$I$30))</x:f>
        <x:v>1.5638963360142986</x:v>
      </x:c>
      <x:c r="K20" s="70" t="n">
        <x:v>100</x:v>
      </x:c>
      <x:c r="L20" s="70" t="n">
        <x:v>100</x:v>
      </x:c>
      <x:c r="M20" s="80" t="n">
        <x:v>66.24666599999999</x:v>
      </x:c>
      <x:c r="N20" s="80" t="n">
        <x:v>0</x:v>
      </x:c>
      <x:c r="O20" s="70" t="n">
        <x:f>IF(M20=0,"",100*(N20-M20)/M20)</x:f>
        <x:v>-100</x:v>
      </x:c>
      <x:c r="P20" s="68" t="str">
        <x:v>확인 필요</x:v>
      </x:c>
    </x:row>
    <x:row r="21" ht="22" customHeight="1">
      <x:c r="A21" s="68" t="str">
        <x:v>UP</x:v>
      </x:c>
      <x:c r="B21" s="68" t="str">
        <x:v>황간휴게소</x:v>
      </x:c>
      <x:c r="C21" s="68" t="n">
        <x:v>359</x:v>
      </x:c>
      <x:c r="D21" s="68" t="n">
        <x:v>446</x:v>
      </x:c>
      <x:c r="E21" s="68" t="n">
        <x:v>0</x:v>
      </x:c>
      <x:c r="F21" s="68" t="n">
        <x:v>446</x:v>
      </x:c>
      <x:c r="G21" s="68" t="n">
        <x:f>D21-C21</x:f>
        <x:v>87</x:v>
      </x:c>
      <x:c r="H21" s="70" t="n">
        <x:f>IF(C21=0,"",100*G21/C21)</x:f>
        <x:v>24.233983286908078</x:v>
      </x:c>
      <x:c r="I21" s="68" t="n">
        <x:v>119</x:v>
      </x:c>
      <x:c r="J21" s="70" t="n">
        <x:f>IF(SUM($I$2:$I$30)=0,"",100*I21/SUM($I$2:$I$30))</x:f>
        <x:v>1.3293118856121537</x:v>
      </x:c>
      <x:c r="K21" s="70" t="n">
        <x:v>33.147632</x:v>
      </x:c>
      <x:c r="L21" s="70" t="n">
        <x:v>43.077964</x:v>
      </x:c>
      <x:c r="M21" s="80" t="n">
        <x:v>141.08472316666666</x:v>
      </x:c>
      <x:c r="N21" s="80" t="n">
        <x:v>94.11206465000001</x:v>
      </x:c>
      <x:c r="O21" s="70" t="n">
        <x:f>IF(M21=0,"",100*(N21-M21)/M21)</x:f>
        <x:v>-33.29393676534118</x:v>
      </x:c>
      <x:c r="P21" s="68" t="str"/>
    </x:row>
    <x:row r="22" ht="22" customHeight="1">
      <x:c r="A22" s="68" t="str">
        <x:v>UP</x:v>
      </x:c>
      <x:c r="B22" s="68" t="str">
        <x:v>입장거봉포도휴게소</x:v>
      </x:c>
      <x:c r="C22" s="68" t="n">
        <x:v>467</x:v>
      </x:c>
      <x:c r="D22" s="68" t="n">
        <x:v>513</x:v>
      </x:c>
      <x:c r="E22" s="68" t="n">
        <x:v>0</x:v>
      </x:c>
      <x:c r="F22" s="68" t="n">
        <x:v>513</x:v>
      </x:c>
      <x:c r="G22" s="68" t="n">
        <x:f>D22-C22</x:f>
        <x:v>46</x:v>
      </x:c>
      <x:c r="H22" s="70" t="n">
        <x:f>IF(C22=0,"",100*G22/C22)</x:f>
        <x:v>9.850107066381156</x:v>
      </x:c>
      <x:c r="I22" s="68" t="n">
        <x:v>104</x:v>
      </x:c>
      <x:c r="J22" s="70" t="n">
        <x:f>IF(SUM($I$2:$I$30)=0,"",100*I22/SUM($I$2:$I$30))</x:f>
        <x:v>1.161751563896336</x:v>
      </x:c>
      <x:c r="K22" s="70" t="n">
        <x:v>22.269807</x:v>
      </x:c>
      <x:c r="L22" s="70" t="n">
        <x:v>24.68238</x:v>
      </x:c>
      <x:c r="M22" s="80" t="n">
        <x:v>200.28416766666666</x:v>
      </x:c>
      <x:c r="N22" s="80" t="n">
        <x:v>46.736024066666666</x:v>
      </x:c>
      <x:c r="O22" s="70" t="n">
        <x:f>IF(M22=0,"",100*(N22-M22)/M22)</x:f>
        <x:v>-76.66514302595824</x:v>
      </x:c>
      <x:c r="P22" s="68" t="str"/>
    </x:row>
    <x:row r="23" ht="22" customHeight="1">
      <x:c r="A23" s="68" t="str">
        <x:v>DOWN</x:v>
      </x:c>
      <x:c r="B23" s="68" t="str">
        <x:v>김천휴게소</x:v>
      </x:c>
      <x:c r="C23" s="68" t="n">
        <x:v>382</x:v>
      </x:c>
      <x:c r="D23" s="68" t="n">
        <x:v>333</x:v>
      </x:c>
      <x:c r="E23" s="68" t="n">
        <x:v>0</x:v>
      </x:c>
      <x:c r="F23" s="68" t="n">
        <x:v>333</x:v>
      </x:c>
      <x:c r="G23" s="68" t="n">
        <x:f>D23-C23</x:f>
        <x:v>-49</x:v>
      </x:c>
      <x:c r="H23" s="70" t="n">
        <x:f>IF(C23=0,"",100*G23/C23)</x:f>
        <x:v>-12.827225130890053</x:v>
      </x:c>
      <x:c r="I23" s="68" t="n">
        <x:v>99</x:v>
      </x:c>
      <x:c r="J23" s="70" t="n">
        <x:f>IF(SUM($I$2:$I$30)=0,"",100*I23/SUM($I$2:$I$30))</x:f>
        <x:v>1.1058981233243967</x:v>
      </x:c>
      <x:c r="K23" s="70" t="n">
        <x:v>25.91623</x:v>
      </x:c>
      <x:c r="L23" s="70" t="n">
        <x:v>24.830307</x:v>
      </x:c>
      <x:c r="M23" s="80" t="n">
        <x:v>167.66972316666667</x:v>
      </x:c>
      <x:c r="N23" s="80" t="n">
        <x:v>117.99405396666666</x:v>
      </x:c>
      <x:c r="O23" s="70" t="n">
        <x:f>IF(M23=0,"",100*(N23-M23)/M23)</x:f>
        <x:v>-29.6270956150035</x:v>
      </x:c>
      <x:c r="P23" s="68" t="str"/>
    </x:row>
    <x:row r="24" ht="22" customHeight="1">
      <x:c r="A24" s="68" t="str">
        <x:v>DOWN</x:v>
      </x:c>
      <x:c r="B24" s="68" t="str">
        <x:v>서울만남휴게소</x:v>
      </x:c>
      <x:c r="C24" s="68" t="n">
        <x:v>107</x:v>
      </x:c>
      <x:c r="D24" s="68" t="n">
        <x:v>18</x:v>
      </x:c>
      <x:c r="E24" s="68" t="n">
        <x:v>2324</x:v>
      </x:c>
      <x:c r="F24" s="68" t="n">
        <x:v>2342</x:v>
      </x:c>
      <x:c r="G24" s="68" t="n">
        <x:f>D24-C24</x:f>
        <x:v>-89</x:v>
      </x:c>
      <x:c r="H24" s="70" t="n">
        <x:f>IF(C24=0,"",100*G24/C24)</x:f>
        <x:v>-83.17757009345794</x:v>
      </x:c>
      <x:c r="I24" s="68" t="n">
        <x:v>89</x:v>
      </x:c>
      <x:c r="J24" s="70" t="n">
        <x:f>IF(SUM($I$2:$I$30)=0,"",100*I24/SUM($I$2:$I$30))</x:f>
        <x:v>0.9941912421805184</x:v>
      </x:c>
      <x:c r="K24" s="70" t="n">
        <x:v>83.17757</x:v>
      </x:c>
      <x:c r="L24" s="70" t="n">
        <x:v>79.543429</x:v>
      </x:c>
      <x:c r="M24" s="80" t="n">
        <x:v>56.669722166666666</x:v>
      </x:c>
      <x:c r="N24" s="80" t="n">
        <x:v>0.25632</x:v>
      </x:c>
      <x:c r="O24" s="70" t="n">
        <x:f>IF(M24=0,"",100*(N24-M24)/M24)</x:f>
        <x:v>-99.54769497678821</x:v>
      </x:c>
      <x:c r="P24" s="68" t="str"/>
    </x:row>
    <x:row r="25" ht="22" customHeight="1">
      <x:c r="A25" s="68" t="str">
        <x:v>DOWN</x:v>
      </x:c>
      <x:c r="B25" s="68" t="str">
        <x:v>기흥휴게소</x:v>
      </x:c>
      <x:c r="C25" s="68" t="n">
        <x:v>85</x:v>
      </x:c>
      <x:c r="D25" s="68" t="n">
        <x:v>0</x:v>
      </x:c>
      <x:c r="E25" s="68" t="n">
        <x:v>1312</x:v>
      </x:c>
      <x:c r="F25" s="68" t="n">
        <x:v>1312</x:v>
      </x:c>
      <x:c r="G25" s="68" t="n">
        <x:f>D25-C25</x:f>
        <x:v>-85</x:v>
      </x:c>
      <x:c r="H25" s="70" t="n">
        <x:f>IF(C25=0,"",100*G25/C25)</x:f>
        <x:v>-100</x:v>
      </x:c>
      <x:c r="I25" s="68" t="n">
        <x:v>85</x:v>
      </x:c>
      <x:c r="J25" s="70" t="n">
        <x:f>IF(SUM($I$2:$I$30)=0,"",100*I25/SUM($I$2:$I$30))</x:f>
        <x:v>0.949508489722967</x:v>
      </x:c>
      <x:c r="K25" s="70" t="n">
        <x:v>100</x:v>
      </x:c>
      <x:c r="L25" s="70" t="n">
        <x:v>100</x:v>
      </x:c>
      <x:c r="M25" s="80" t="n">
        <x:v>48.13861083333334</x:v>
      </x:c>
      <x:c r="N25" s="80" t="n">
        <x:v>0</x:v>
      </x:c>
      <x:c r="O25" s="70" t="n">
        <x:f>IF(M25=0,"",100*(N25-M25)/M25)</x:f>
        <x:v>-100</x:v>
      </x:c>
      <x:c r="P25" s="68" t="str">
        <x:v>확인 필요</x:v>
      </x:c>
    </x:row>
    <x:row r="26" ht="22" customHeight="1">
      <x:c r="A26" s="68" t="str">
        <x:v>UP</x:v>
      </x:c>
      <x:c r="B26" s="68" t="str">
        <x:v>경산휴게소</x:v>
      </x:c>
      <x:c r="C26" s="68" t="n">
        <x:v>387</x:v>
      </x:c>
      <x:c r="D26" s="68" t="n">
        <x:v>415</x:v>
      </x:c>
      <x:c r="E26" s="68" t="n">
        <x:v>0</x:v>
      </x:c>
      <x:c r="F26" s="68" t="n">
        <x:v>415</x:v>
      </x:c>
      <x:c r="G26" s="68" t="n">
        <x:f>D26-C26</x:f>
        <x:v>28</x:v>
      </x:c>
      <x:c r="H26" s="70" t="n">
        <x:f>IF(C26=0,"",100*G26/C26)</x:f>
        <x:v>7.235142118863049</x:v>
      </x:c>
      <x:c r="I26" s="68" t="n">
        <x:v>76</x:v>
      </x:c>
      <x:c r="J26" s="70" t="n">
        <x:f>IF(SUM($I$2:$I$30)=0,"",100*I26/SUM($I$2:$I$30))</x:f>
        <x:v>0.8489722966934763</x:v>
      </x:c>
      <x:c r="K26" s="70" t="n">
        <x:v>19.638243</x:v>
      </x:c>
      <x:c r="L26" s="70" t="n">
        <x:v>23.727322</x:v>
      </x:c>
      <x:c r="M26" s="80" t="n">
        <x:v>168.76750066666668</x:v>
      </x:c>
      <x:c r="N26" s="80" t="n">
        <x:v>169.40240808333334</x:v>
      </x:c>
      <x:c r="O26" s="70" t="n">
        <x:f>IF(M26=0,"",100*(N26-M26)/M26)</x:f>
        <x:v>0.3762024170285439</x:v>
      </x:c>
      <x:c r="P26" s="68" t="str"/>
    </x:row>
    <x:row r="27" ht="22" customHeight="1">
      <x:c r="A27" s="68" t="str">
        <x:v>UP</x:v>
      </x:c>
      <x:c r="B27" s="68" t="str">
        <x:v>김천휴게소</x:v>
      </x:c>
      <x:c r="C27" s="68" t="n">
        <x:v>86</x:v>
      </x:c>
      <x:c r="D27" s="68" t="n">
        <x:v>14</x:v>
      </x:c>
      <x:c r="E27" s="68" t="n">
        <x:v>846</x:v>
      </x:c>
      <x:c r="F27" s="68" t="n">
        <x:v>860</x:v>
      </x:c>
      <x:c r="G27" s="68" t="n">
        <x:f>D27-C27</x:f>
        <x:v>-72</x:v>
      </x:c>
      <x:c r="H27" s="70" t="n">
        <x:f>IF(C27=0,"",100*G27/C27)</x:f>
        <x:v>-83.72093023255815</x:v>
      </x:c>
      <x:c r="I27" s="68" t="n">
        <x:v>72</x:v>
      </x:c>
      <x:c r="J27" s="70" t="n">
        <x:f>IF(SUM($I$2:$I$30)=0,"",100*I27/SUM($I$2:$I$30))</x:f>
        <x:v>0.8042895442359249</x:v>
      </x:c>
      <x:c r="K27" s="70" t="n">
        <x:v>83.72093</x:v>
      </x:c>
      <x:c r="L27" s="70" t="n">
        <x:v>89.349206</x:v>
      </x:c>
      <x:c r="M27" s="80" t="n">
        <x:v>77.75833266666667</x:v>
      </x:c>
      <x:c r="N27" s="80" t="n">
        <x:v>1.8212065833333333</x:v>
      </x:c>
      <x:c r="O27" s="70" t="n">
        <x:f>IF(M27=0,"",100*(N27-M27)/M27)</x:f>
        <x:v>-97.65786312427704</x:v>
      </x:c>
      <x:c r="P27" s="68" t="str"/>
    </x:row>
    <x:row r="28" ht="22" customHeight="1">
      <x:c r="A28" s="68" t="str">
        <x:v>DOWN</x:v>
      </x:c>
      <x:c r="B28" s="68" t="str">
        <x:v>옥천휴게소</x:v>
      </x:c>
      <x:c r="C28" s="68" t="n">
        <x:v>73</x:v>
      </x:c>
      <x:c r="D28" s="68" t="n">
        <x:v>13</x:v>
      </x:c>
      <x:c r="E28" s="68" t="n">
        <x:v>1644</x:v>
      </x:c>
      <x:c r="F28" s="68" t="n">
        <x:v>1657</x:v>
      </x:c>
      <x:c r="G28" s="68" t="n">
        <x:f>D28-C28</x:f>
        <x:v>-60</x:v>
      </x:c>
      <x:c r="H28" s="70" t="n">
        <x:f>IF(C28=0,"",100*G28/C28)</x:f>
        <x:v>-82.1917808219178</x:v>
      </x:c>
      <x:c r="I28" s="68" t="n">
        <x:v>60</x:v>
      </x:c>
      <x:c r="J28" s="70" t="n">
        <x:f>IF(SUM($I$2:$I$30)=0,"",100*I28/SUM($I$2:$I$30))</x:f>
        <x:v>0.6702412868632708</x:v>
      </x:c>
      <x:c r="K28" s="70" t="n">
        <x:v>82.191781</x:v>
      </x:c>
      <x:c r="L28" s="70" t="n">
        <x:v>83.170163</x:v>
      </x:c>
      <x:c r="M28" s="80" t="n">
        <x:v>33.007221666666666</x:v>
      </x:c>
      <x:c r="N28" s="80" t="n">
        <x:v>1.7993631333333333</x:v>
      </x:c>
      <x:c r="O28" s="70" t="n">
        <x:f>IF(M28=0,"",100*(N28-M28)/M28)</x:f>
        <x:v>-94.5485774249504</x:v>
      </x:c>
      <x:c r="P28" s="68" t="str"/>
    </x:row>
    <x:row r="29" ht="22" customHeight="1">
      <x:c r="A29" s="68" t="str">
        <x:v>UP</x:v>
      </x:c>
      <x:c r="B29" s="68" t="str">
        <x:v>언양휴게소</x:v>
      </x:c>
      <x:c r="C29" s="68" t="n">
        <x:v>53</x:v>
      </x:c>
      <x:c r="D29" s="68" t="n">
        <x:v>84</x:v>
      </x:c>
      <x:c r="E29" s="68" t="n">
        <x:v>2963</x:v>
      </x:c>
      <x:c r="F29" s="68" t="n">
        <x:v>3047</x:v>
      </x:c>
      <x:c r="G29" s="68" t="n">
        <x:f>D29-C29</x:f>
        <x:v>31</x:v>
      </x:c>
      <x:c r="H29" s="70" t="n">
        <x:f>IF(C29=0,"",100*G29/C29)</x:f>
        <x:v>58.490566037735846</x:v>
      </x:c>
      <x:c r="I29" s="68" t="n">
        <x:v>47</x:v>
      </x:c>
      <x:c r="J29" s="70" t="n">
        <x:f>IF(SUM($I$2:$I$30)=0,"",100*I29/SUM($I$2:$I$30))</x:f>
        <x:v>0.5250223413762288</x:v>
      </x:c>
      <x:c r="K29" s="70" t="n">
        <x:v>88.679245</x:v>
      </x:c>
      <x:c r="L29" s="70" t="n">
        <x:v>81.833333</x:v>
      </x:c>
      <x:c r="M29" s="80" t="n">
        <x:v>22.878055333333336</x:v>
      </x:c>
      <x:c r="N29" s="80" t="n">
        <x:v>20.470600966666666</x:v>
      </x:c>
      <x:c r="O29" s="70" t="n">
        <x:f>IF(M29=0,"",100*(N29-M29)/M29)</x:f>
        <x:v>-10.522985155818764</x:v>
      </x:c>
      <x:c r="P29" s="68" t="str"/>
    </x:row>
    <x:row r="30" ht="22" customHeight="1">
      <x:c r="A30" s="68" t="str">
        <x:v>DOWN</x:v>
      </x:c>
      <x:c r="B30" s="68" t="str">
        <x:v>옥천만남휴게소</x:v>
      </x:c>
      <x:c r="C30" s="68" t="n">
        <x:v>6</x:v>
      </x:c>
      <x:c r="D30" s="68" t="n">
        <x:v>0</x:v>
      </x:c>
      <x:c r="E30" s="68" t="n">
        <x:v>0</x:v>
      </x:c>
      <x:c r="F30" s="68" t="n">
        <x:v>0</x:v>
      </x:c>
      <x:c r="G30" s="68" t="n">
        <x:f>D30-C30</x:f>
        <x:v>-6</x:v>
      </x:c>
      <x:c r="H30" s="70" t="n">
        <x:f>IF(C30=0,"",100*G30/C30)</x:f>
        <x:v>-100</x:v>
      </x:c>
      <x:c r="I30" s="68" t="n">
        <x:v>6</x:v>
      </x:c>
      <x:c r="J30" s="70" t="n">
        <x:f>IF(SUM($I$2:$I$30)=0,"",100*I30/SUM($I$2:$I$30))</x:f>
        <x:v>0.06702412868632708</x:v>
      </x:c>
      <x:c r="K30" s="70" t="n">
        <x:v>100</x:v>
      </x:c>
      <x:c r="L30" s="70" t="n">
        <x:v>100</x:v>
      </x:c>
      <x:c r="M30" s="80" t="n">
        <x:v>2.8061111666666667</x:v>
      </x:c>
      <x:c r="N30" s="80" t="n">
        <x:v>0</x:v>
      </x:c>
      <x:c r="O30" s="70" t="n">
        <x:f>IF(M30=0,"",100*(N30-M30)/M30)</x:f>
        <x:v>-99.99999999999999</x:v>
      </x:c>
      <x:c r="P30" s="68" t="str">
        <x:v>확인 필요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14" hidden="0" customWidth="1"/>
    <x:col min="5" max="5" width="14" hidden="0" customWidth="1"/>
    <x:col min="6" max="6" width="18" hidden="0" customWidth="1"/>
    <x:col min="7" max="7" width="16" hidden="0" customWidth="1"/>
    <x:col min="8" max="8" width="14" hidden="0" customWidth="1"/>
    <x:col min="9" max="9" width="17" hidden="0" customWidth="1"/>
    <x:col min="10" max="10" width="16" hidden="0" customWidth="1"/>
    <x:col min="11" max="11" width="18" hidden="0" customWidth="1"/>
    <x:col min="12" max="12" width="19" hidden="0" customWidth="1"/>
    <x:col min="13" max="13" width="19" hidden="0" customWidth="1"/>
    <x:col min="14" max="14" width="21" hidden="0" customWidth="1"/>
    <x:col min="15" max="15" width="19" hidden="0" customWidth="1"/>
  </x:cols>
  <x:sheetData>
    <x:row r="1" ht="31" customHeight="1">
      <x:c r="A1" s="63" t="str">
        <x:v>방향</x:v>
      </x:c>
      <x:c r="B1" s="63" t="str">
        <x:v>날짜</x:v>
      </x:c>
      <x:c r="C1" s="63" t="str">
        <x:v>휴게소</x:v>
      </x:c>
      <x:c r="D1" s="63" t="str">
        <x:v>실측 시작</x:v>
      </x:c>
      <x:c r="E1" s="63" t="str">
        <x:v>ME 시작</x:v>
      </x:c>
      <x:c r="F1" s="63" t="str">
        <x:v>NONME 시작</x:v>
      </x:c>
      <x:c r="G1" s="63" t="str">
        <x:v>모델 ALL</x:v>
      </x:c>
      <x:c r="H1" s="63" t="str">
        <x:v>ME 편향</x:v>
      </x:c>
      <x:c r="I1" s="63" t="str">
        <x:v>ME 절대오차</x:v>
      </x:c>
      <x:c r="J1" s="63" t="str">
        <x:v>ME APE %</x:v>
      </x:c>
      <x:c r="K1" s="63" t="str">
        <x:v>실측 점유 분</x:v>
      </x:c>
      <x:c r="L1" s="63" t="str">
        <x:v>모델 ME 점유 분</x:v>
      </x:c>
      <x:c r="M1" s="63" t="str">
        <x:v>점유 편향 분</x:v>
      </x:c>
      <x:c r="N1" s="63" t="str">
        <x:v>점유 절대오차 분</x:v>
      </x:c>
      <x:c r="O1" s="63" t="str">
        <x:v>ALL-실측(진단)</x:v>
      </x:c>
    </x:row>
    <x:row r="2" ht="22" customHeight="1">
      <x:c r="A2" s="68" t="str">
        <x:v>DOWN</x:v>
      </x:c>
      <x:c r="B2" s="68" t="str">
        <x:v>2026-02-13</x:v>
      </x:c>
      <x:c r="C2" s="68" t="str">
        <x:v>건천휴게소</x:v>
      </x:c>
      <x:c r="D2" s="68" t="n">
        <x:v>79</x:v>
      </x:c>
      <x:c r="E2" s="68" t="n">
        <x:v>77</x:v>
      </x:c>
      <x:c r="F2" s="68" t="n">
        <x:v>0</x:v>
      </x:c>
      <x:c r="G2" s="68" t="n">
        <x:v>77</x:v>
      </x:c>
      <x:c r="H2" s="68" t="n">
        <x:f>E2-D2</x:f>
        <x:v>-2</x:v>
      </x:c>
      <x:c r="I2" s="68" t="n">
        <x:f>ABS(H2)</x:f>
        <x:v>2</x:v>
      </x:c>
      <x:c r="J2" s="70" t="n">
        <x:f>IF(D2=0,"",100*I2/D2)</x:f>
        <x:v>2.5316455696202533</x:v>
      </x:c>
      <x:c r="K2" s="72" t="n">
        <x:v>1987.13333</x:v>
      </x:c>
      <x:c r="L2" s="72" t="n">
        <x:v>752.868289</x:v>
      </x:c>
      <x:c r="M2" s="72" t="n">
        <x:f>L2-K2</x:f>
        <x:v>-1234.2650409999999</x:v>
      </x:c>
      <x:c r="N2" s="72" t="n">
        <x:f>ABS(M2)</x:f>
        <x:v>1234.2650409999999</x:v>
      </x:c>
      <x:c r="O2" s="68" t="n">
        <x:f>G2-D2</x:f>
        <x:v>-2</x:v>
      </x:c>
    </x:row>
    <x:row r="3" ht="22" customHeight="1">
      <x:c r="A3" s="68" t="str">
        <x:v>DOWN</x:v>
      </x:c>
      <x:c r="B3" s="68" t="str">
        <x:v>2026-02-13</x:v>
      </x:c>
      <x:c r="C3" s="68" t="str">
        <x:v>금강휴게소</x:v>
      </x:c>
      <x:c r="D3" s="68" t="n">
        <x:v>33</x:v>
      </x:c>
      <x:c r="E3" s="68" t="n">
        <x:v>2</x:v>
      </x:c>
      <x:c r="F3" s="68" t="n">
        <x:v>0</x:v>
      </x:c>
      <x:c r="G3" s="68" t="n">
        <x:v>2</x:v>
      </x:c>
      <x:c r="H3" s="68" t="n">
        <x:f>E3-D3</x:f>
        <x:v>-31</x:v>
      </x:c>
      <x:c r="I3" s="68" t="n">
        <x:f>ABS(H3)</x:f>
        <x:v>31</x:v>
      </x:c>
      <x:c r="J3" s="70" t="n">
        <x:f>IF(D3=0,"",100*I3/D3)</x:f>
        <x:v>93.93939393939394</x:v>
      </x:c>
      <x:c r="K3" s="72" t="n">
        <x:v>1076.30001</x:v>
      </x:c>
      <x:c r="L3" s="72" t="n">
        <x:v>114.883906</x:v>
      </x:c>
      <x:c r="M3" s="72" t="n">
        <x:f>L3-K3</x:f>
        <x:v>-961.4161039999999</x:v>
      </x:c>
      <x:c r="N3" s="72" t="n">
        <x:f>ABS(M3)</x:f>
        <x:v>961.4161039999999</x:v>
      </x:c>
      <x:c r="O3" s="68" t="n">
        <x:f>G3-D3</x:f>
        <x:v>-31</x:v>
      </x:c>
    </x:row>
    <x:row r="4" ht="22" customHeight="1">
      <x:c r="A4" s="68" t="str">
        <x:v>DOWN</x:v>
      </x:c>
      <x:c r="B4" s="68" t="str">
        <x:v>2026-02-13</x:v>
      </x:c>
      <x:c r="C4" s="68" t="str">
        <x:v>기흥휴게소</x:v>
      </x:c>
      <x:c r="D4" s="68" t="n">
        <x:v>9</x:v>
      </x:c>
      <x:c r="E4" s="68" t="n">
        <x:v>0</x:v>
      </x:c>
      <x:c r="F4" s="68" t="n">
        <x:v>139</x:v>
      </x:c>
      <x:c r="G4" s="68" t="n">
        <x:v>139</x:v>
      </x:c>
      <x:c r="H4" s="68" t="n">
        <x:f>E4-D4</x:f>
        <x:v>-9</x:v>
      </x:c>
      <x:c r="I4" s="68" t="n">
        <x:f>ABS(H4)</x:f>
        <x:v>9</x:v>
      </x:c>
      <x:c r="J4" s="70" t="n">
        <x:f>IF(D4=0,"",100*I4/D4)</x:f>
        <x:v>100</x:v>
      </x:c>
      <x:c r="K4" s="72" t="n">
        <x:v>301.81668</x:v>
      </x:c>
      <x:c r="L4" s="72" t="n">
        <x:v>0</x:v>
      </x:c>
      <x:c r="M4" s="72" t="n">
        <x:f>L4-K4</x:f>
        <x:v>-301.81668</x:v>
      </x:c>
      <x:c r="N4" s="72" t="n">
        <x:f>ABS(M4)</x:f>
        <x:v>301.81668</x:v>
      </x:c>
      <x:c r="O4" s="68" t="n">
        <x:f>G4-D4</x:f>
        <x:v>130</x:v>
      </x:c>
    </x:row>
    <x:row r="5" ht="22" customHeight="1">
      <x:c r="A5" s="68" t="str">
        <x:v>DOWN</x:v>
      </x:c>
      <x:c r="B5" s="68" t="str">
        <x:v>2026-02-13</x:v>
      </x:c>
      <x:c r="C5" s="68" t="str">
        <x:v>김천휴게소</x:v>
      </x:c>
      <x:c r="D5" s="68" t="n">
        <x:v>50</x:v>
      </x:c>
      <x:c r="E5" s="68" t="n">
        <x:v>27</x:v>
      </x:c>
      <x:c r="F5" s="68" t="n">
        <x:v>0</x:v>
      </x:c>
      <x:c r="G5" s="68" t="n">
        <x:v>27</x:v>
      </x:c>
      <x:c r="H5" s="68" t="n">
        <x:f>E5-D5</x:f>
        <x:v>-23</x:v>
      </x:c>
      <x:c r="I5" s="68" t="n">
        <x:f>ABS(H5)</x:f>
        <x:v>23</x:v>
      </x:c>
      <x:c r="J5" s="70" t="n">
        <x:f>IF(D5=0,"",100*I5/D5)</x:f>
        <x:v>46</x:v>
      </x:c>
      <x:c r="K5" s="72" t="n">
        <x:v>1388.80001</x:v>
      </x:c>
      <x:c r="L5" s="72" t="n">
        <x:v>550.547947</x:v>
      </x:c>
      <x:c r="M5" s="72" t="n">
        <x:f>L5-K5</x:f>
        <x:v>-838.2520629999999</x:v>
      </x:c>
      <x:c r="N5" s="72" t="n">
        <x:f>ABS(M5)</x:f>
        <x:v>838.2520629999999</x:v>
      </x:c>
      <x:c r="O5" s="68" t="n">
        <x:f>G5-D5</x:f>
        <x:v>-23</x:v>
      </x:c>
    </x:row>
    <x:row r="6" ht="22" customHeight="1">
      <x:c r="A6" s="68" t="str">
        <x:v>DOWN</x:v>
      </x:c>
      <x:c r="B6" s="68" t="str">
        <x:v>2026-02-13</x:v>
      </x:c>
      <x:c r="C6" s="68" t="str">
        <x:v>서울만남휴게소</x:v>
      </x:c>
      <x:c r="D6" s="68" t="n">
        <x:v>15</x:v>
      </x:c>
      <x:c r="E6" s="68" t="n">
        <x:v>2</x:v>
      </x:c>
      <x:c r="F6" s="68" t="n">
        <x:v>281</x:v>
      </x:c>
      <x:c r="G6" s="68" t="n">
        <x:v>283</x:v>
      </x:c>
      <x:c r="H6" s="68" t="n">
        <x:f>E6-D6</x:f>
        <x:v>-13</x:v>
      </x:c>
      <x:c r="I6" s="68" t="n">
        <x:f>ABS(H6)</x:f>
        <x:v>13</x:v>
      </x:c>
      <x:c r="J6" s="70" t="n">
        <x:f>IF(D6=0,"",100*I6/D6)</x:f>
        <x:v>86.66666666666667</x:v>
      </x:c>
      <x:c r="K6" s="72" t="n">
        <x:v>501.81667</x:v>
      </x:c>
      <x:c r="L6" s="72" t="n">
        <x:v>1.138945</x:v>
      </x:c>
      <x:c r="M6" s="72" t="n">
        <x:f>L6-K6</x:f>
        <x:v>-500.677725</x:v>
      </x:c>
      <x:c r="N6" s="72" t="n">
        <x:f>ABS(M6)</x:f>
        <x:v>500.677725</x:v>
      </x:c>
      <x:c r="O6" s="68" t="n">
        <x:f>G6-D6</x:f>
        <x:v>268</x:v>
      </x:c>
    </x:row>
    <x:row r="7" ht="22" customHeight="1">
      <x:c r="A7" s="68" t="str">
        <x:v>DOWN</x:v>
      </x:c>
      <x:c r="B7" s="68" t="str">
        <x:v>2026-02-13</x:v>
      </x:c>
      <x:c r="C7" s="68" t="str">
        <x:v>서울하이패스센터쉼터</x:v>
      </x:c>
      <x:c r="D7" s="68" t="n">
        <x:v>21</x:v>
      </x:c>
      <x:c r="E7" s="68" t="n">
        <x:v>1</x:v>
      </x:c>
      <x:c r="F7" s="68" t="n">
        <x:v>0</x:v>
      </x:c>
      <x:c r="G7" s="68" t="n">
        <x:v>1</x:v>
      </x:c>
      <x:c r="H7" s="68" t="n">
        <x:f>E7-D7</x:f>
        <x:v>-20</x:v>
      </x:c>
      <x:c r="I7" s="68" t="n">
        <x:f>ABS(H7)</x:f>
        <x:v>20</x:v>
      </x:c>
      <x:c r="J7" s="70" t="n">
        <x:f>IF(D7=0,"",100*I7/D7)</x:f>
        <x:v>95.23809523809524</x:v>
      </x:c>
      <x:c r="K7" s="72" t="n">
        <x:v>613.76666</x:v>
      </x:c>
      <x:c r="L7" s="72" t="n">
        <x:v>5.569871</x:v>
      </x:c>
      <x:c r="M7" s="72" t="n">
        <x:f>L7-K7</x:f>
        <x:v>-608.196789</x:v>
      </x:c>
      <x:c r="N7" s="72" t="n">
        <x:f>ABS(M7)</x:f>
        <x:v>608.196789</x:v>
      </x:c>
      <x:c r="O7" s="68" t="n">
        <x:f>G7-D7</x:f>
        <x:v>-20</x:v>
      </x:c>
    </x:row>
    <x:row r="8" ht="22" customHeight="1">
      <x:c r="A8" s="68" t="str">
        <x:v>DOWN</x:v>
      </x:c>
      <x:c r="B8" s="68" t="str">
        <x:v>2026-02-13</x:v>
      </x:c>
      <x:c r="C8" s="68" t="str">
        <x:v>안성휴게소</x:v>
      </x:c>
      <x:c r="D8" s="68" t="n">
        <x:v>45</x:v>
      </x:c>
      <x:c r="E8" s="68" t="n">
        <x:v>4</x:v>
      </x:c>
      <x:c r="F8" s="68" t="n">
        <x:v>177</x:v>
      </x:c>
      <x:c r="G8" s="68" t="n">
        <x:v>181</x:v>
      </x:c>
      <x:c r="H8" s="68" t="n">
        <x:f>E8-D8</x:f>
        <x:v>-41</x:v>
      </x:c>
      <x:c r="I8" s="68" t="n">
        <x:f>ABS(H8)</x:f>
        <x:v>41</x:v>
      </x:c>
      <x:c r="J8" s="70" t="n">
        <x:f>IF(D8=0,"",100*I8/D8)</x:f>
        <x:v>91.11111111111111</x:v>
      </x:c>
      <x:c r="K8" s="72" t="n">
        <x:v>1350.66667</x:v>
      </x:c>
      <x:c r="L8" s="72" t="n">
        <x:v>17.261365</x:v>
      </x:c>
      <x:c r="M8" s="72" t="n">
        <x:f>L8-K8</x:f>
        <x:v>-1333.405305</x:v>
      </x:c>
      <x:c r="N8" s="72" t="n">
        <x:f>ABS(M8)</x:f>
        <x:v>1333.405305</x:v>
      </x:c>
      <x:c r="O8" s="68" t="n">
        <x:f>G8-D8</x:f>
        <x:v>136</x:v>
      </x:c>
    </x:row>
    <x:row r="9" ht="22" customHeight="1">
      <x:c r="A9" s="68" t="str">
        <x:v>DOWN</x:v>
      </x:c>
      <x:c r="B9" s="68" t="str">
        <x:v>2026-02-13</x:v>
      </x:c>
      <x:c r="C9" s="68" t="str">
        <x:v>옥산휴게소</x:v>
      </x:c>
      <x:c r="D9" s="68" t="n">
        <x:v>51</x:v>
      </x:c>
      <x:c r="E9" s="68" t="n">
        <x:v>68</x:v>
      </x:c>
      <x:c r="F9" s="68" t="n">
        <x:v>13</x:v>
      </x:c>
      <x:c r="G9" s="68" t="n">
        <x:v>81</x:v>
      </x:c>
      <x:c r="H9" s="68" t="n">
        <x:f>E9-D9</x:f>
        <x:v>17</x:v>
      </x:c>
      <x:c r="I9" s="68" t="n">
        <x:f>ABS(H9)</x:f>
        <x:v>17</x:v>
      </x:c>
      <x:c r="J9" s="70" t="n">
        <x:f>IF(D9=0,"",100*I9/D9)</x:f>
        <x:v>33.333333333333336</x:v>
      </x:c>
      <x:c r="K9" s="72" t="n">
        <x:v>1332.96669</x:v>
      </x:c>
      <x:c r="L9" s="72" t="n">
        <x:v>990.999701</x:v>
      </x:c>
      <x:c r="M9" s="72" t="n">
        <x:f>L9-K9</x:f>
        <x:v>-341.966989</x:v>
      </x:c>
      <x:c r="N9" s="72" t="n">
        <x:f>ABS(M9)</x:f>
        <x:v>341.966989</x:v>
      </x:c>
      <x:c r="O9" s="68" t="n">
        <x:f>G9-D9</x:f>
        <x:v>30</x:v>
      </x:c>
    </x:row>
    <x:row r="10" ht="22" customHeight="1">
      <x:c r="A10" s="68" t="str">
        <x:v>DOWN</x:v>
      </x:c>
      <x:c r="B10" s="68" t="str">
        <x:v>2026-02-13</x:v>
      </x:c>
      <x:c r="C10" s="68" t="str">
        <x:v>옥천만남휴게소</x:v>
      </x:c>
      <x:c r="D10" s="68" t="n">
        <x:v>0</x:v>
      </x:c>
      <x:c r="E10" s="68" t="n">
        <x:v>0</x:v>
      </x:c>
      <x:c r="F10" s="68" t="n">
        <x:v>0</x:v>
      </x:c>
      <x:c r="G10" s="68" t="n">
        <x:v>0</x:v>
      </x:c>
      <x:c r="H10" s="68" t="n">
        <x:f>E10-D10</x:f>
        <x:v>0</x:v>
      </x:c>
      <x:c r="I10" s="68" t="n">
        <x:f>ABS(H10)</x:f>
        <x:v>0</x:v>
      </x:c>
      <x:c r="J10" s="70" t="str">
        <x:f>IF(D10=0,"",100*I10/D10)</x:f>
      </x:c>
      <x:c r="K10" s="72" t="n">
        <x:v>0</x:v>
      </x:c>
      <x:c r="L10" s="72" t="n">
        <x:v>0</x:v>
      </x:c>
      <x:c r="M10" s="72" t="n">
        <x:f>L10-K10</x:f>
        <x:v>0</x:v>
      </x:c>
      <x:c r="N10" s="72" t="n">
        <x:f>ABS(M10)</x:f>
        <x:v>0</x:v>
      </x:c>
      <x:c r="O10" s="68" t="n">
        <x:f>G10-D10</x:f>
        <x:v>0</x:v>
      </x:c>
    </x:row>
    <x:row r="11" ht="22" customHeight="1">
      <x:c r="A11" s="68" t="str">
        <x:v>DOWN</x:v>
      </x:c>
      <x:c r="B11" s="68" t="str">
        <x:v>2026-02-13</x:v>
      </x:c>
      <x:c r="C11" s="68" t="str">
        <x:v>옥천휴게소</x:v>
      </x:c>
      <x:c r="D11" s="68" t="n">
        <x:v>9</x:v>
      </x:c>
      <x:c r="E11" s="68" t="n">
        <x:v>6</x:v>
      </x:c>
      <x:c r="F11" s="68" t="n">
        <x:v>203</x:v>
      </x:c>
      <x:c r="G11" s="68" t="n">
        <x:v>209</x:v>
      </x:c>
      <x:c r="H11" s="68" t="n">
        <x:f>E11-D11</x:f>
        <x:v>-3</x:v>
      </x:c>
      <x:c r="I11" s="68" t="n">
        <x:f>ABS(H11)</x:f>
        <x:v>3</x:v>
      </x:c>
      <x:c r="J11" s="70" t="n">
        <x:f>IF(D11=0,"",100*I11/D11)</x:f>
        <x:v>33.333333333333336</x:v>
      </x:c>
      <x:c r="K11" s="72" t="n">
        <x:v>232.09999</x:v>
      </x:c>
      <x:c r="L11" s="72" t="n">
        <x:v>27.500317</x:v>
      </x:c>
      <x:c r="M11" s="72" t="n">
        <x:f>L11-K11</x:f>
        <x:v>-204.599673</x:v>
      </x:c>
      <x:c r="N11" s="72" t="n">
        <x:f>ABS(M11)</x:f>
        <x:v>204.599673</x:v>
      </x:c>
      <x:c r="O11" s="68" t="n">
        <x:f>G11-D11</x:f>
        <x:v>200</x:v>
      </x:c>
    </x:row>
    <x:row r="12" ht="22" customHeight="1">
      <x:c r="A12" s="68" t="str">
        <x:v>DOWN</x:v>
      </x:c>
      <x:c r="B12" s="68" t="str">
        <x:v>2026-02-13</x:v>
      </x:c>
      <x:c r="C12" s="68" t="str">
        <x:v>천안호두휴게소</x:v>
      </x:c>
      <x:c r="D12" s="68" t="n">
        <x:v>41</x:v>
      </x:c>
      <x:c r="E12" s="68" t="n">
        <x:v>0</x:v>
      </x:c>
      <x:c r="F12" s="68" t="n">
        <x:v>50</x:v>
      </x:c>
      <x:c r="G12" s="68" t="n">
        <x:v>50</x:v>
      </x:c>
      <x:c r="H12" s="68" t="n">
        <x:f>E12-D12</x:f>
        <x:v>-41</x:v>
      </x:c>
      <x:c r="I12" s="68" t="n">
        <x:f>ABS(H12)</x:f>
        <x:v>41</x:v>
      </x:c>
      <x:c r="J12" s="70" t="n">
        <x:f>IF(D12=0,"",100*I12/D12)</x:f>
        <x:v>100</x:v>
      </x:c>
      <x:c r="K12" s="72" t="n">
        <x:v>1125.69999</x:v>
      </x:c>
      <x:c r="L12" s="72" t="n">
        <x:v>0</x:v>
      </x:c>
      <x:c r="M12" s="72" t="n">
        <x:f>L12-K12</x:f>
        <x:v>-1125.69999</x:v>
      </x:c>
      <x:c r="N12" s="72" t="n">
        <x:f>ABS(M12)</x:f>
        <x:v>1125.69999</x:v>
      </x:c>
      <x:c r="O12" s="68" t="n">
        <x:f>G12-D12</x:f>
        <x:v>9</x:v>
      </x:c>
    </x:row>
    <x:row r="13" ht="22" customHeight="1">
      <x:c r="A13" s="68" t="str">
        <x:v>DOWN</x:v>
      </x:c>
      <x:c r="B13" s="68" t="str">
        <x:v>2026-02-13</x:v>
      </x:c>
      <x:c r="C13" s="68" t="str">
        <x:v>추풍령휴게소</x:v>
      </x:c>
      <x:c r="D13" s="68" t="n">
        <x:v>18</x:v>
      </x:c>
      <x:c r="E13" s="68" t="n">
        <x:v>69</x:v>
      </x:c>
      <x:c r="F13" s="68" t="n">
        <x:v>25</x:v>
      </x:c>
      <x:c r="G13" s="68" t="n">
        <x:v>94</x:v>
      </x:c>
      <x:c r="H13" s="68" t="n">
        <x:f>E13-D13</x:f>
        <x:v>51</x:v>
      </x:c>
      <x:c r="I13" s="68" t="n">
        <x:f>ABS(H13)</x:f>
        <x:v>51</x:v>
      </x:c>
      <x:c r="J13" s="70" t="n">
        <x:f>IF(D13=0,"",100*I13/D13)</x:f>
        <x:v>283.3333333333333</x:v>
      </x:c>
      <x:c r="K13" s="72" t="n">
        <x:v>471.41668</x:v>
      </x:c>
      <x:c r="L13" s="72" t="n">
        <x:v>1206.036614</x:v>
      </x:c>
      <x:c r="M13" s="72" t="n">
        <x:f>L13-K13</x:f>
        <x:v>734.6199340000001</x:v>
      </x:c>
      <x:c r="N13" s="72" t="n">
        <x:f>ABS(M13)</x:f>
        <x:v>734.6199340000001</x:v>
      </x:c>
      <x:c r="O13" s="68" t="n">
        <x:f>G13-D13</x:f>
        <x:v>76</x:v>
      </x:c>
    </x:row>
    <x:row r="14" ht="22" customHeight="1">
      <x:c r="A14" s="68" t="str">
        <x:v>DOWN</x:v>
      </x:c>
      <x:c r="B14" s="68" t="str">
        <x:v>2026-02-13</x:v>
      </x:c>
      <x:c r="C14" s="68" t="str">
        <x:v>칠곡휴게소</x:v>
      </x:c>
      <x:c r="D14" s="68" t="n">
        <x:v>111</x:v>
      </x:c>
      <x:c r="E14" s="68" t="n">
        <x:v>6</x:v>
      </x:c>
      <x:c r="F14" s="68" t="n">
        <x:v>218</x:v>
      </x:c>
      <x:c r="G14" s="68" t="n">
        <x:v>224</x:v>
      </x:c>
      <x:c r="H14" s="68" t="n">
        <x:f>E14-D14</x:f>
        <x:v>-105</x:v>
      </x:c>
      <x:c r="I14" s="68" t="n">
        <x:f>ABS(H14)</x:f>
        <x:v>105</x:v>
      </x:c>
      <x:c r="J14" s="70" t="n">
        <x:f>IF(D14=0,"",100*I14/D14)</x:f>
        <x:v>94.5945945945946</x:v>
      </x:c>
      <x:c r="K14" s="72" t="n">
        <x:v>3298.65001</x:v>
      </x:c>
      <x:c r="L14" s="72" t="n">
        <x:v>108.595005</x:v>
      </x:c>
      <x:c r="M14" s="72" t="n">
        <x:f>L14-K14</x:f>
        <x:v>-3190.0550049999997</x:v>
      </x:c>
      <x:c r="N14" s="72" t="n">
        <x:f>ABS(M14)</x:f>
        <x:v>3190.0550049999997</x:v>
      </x:c>
      <x:c r="O14" s="68" t="n">
        <x:f>G14-D14</x:f>
        <x:v>113</x:v>
      </x:c>
    </x:row>
    <x:row r="15" ht="22" customHeight="1">
      <x:c r="A15" s="68" t="str">
        <x:v>DOWN</x:v>
      </x:c>
      <x:c r="B15" s="68" t="str">
        <x:v>2026-02-13</x:v>
      </x:c>
      <x:c r="C15" s="68" t="str">
        <x:v>통도사휴게소</x:v>
      </x:c>
      <x:c r="D15" s="68" t="n">
        <x:v>24</x:v>
      </x:c>
      <x:c r="E15" s="68" t="n">
        <x:v>0</x:v>
      </x:c>
      <x:c r="F15" s="68" t="n">
        <x:v>9</x:v>
      </x:c>
      <x:c r="G15" s="68" t="n">
        <x:v>9</x:v>
      </x:c>
      <x:c r="H15" s="68" t="n">
        <x:f>E15-D15</x:f>
        <x:v>-24</x:v>
      </x:c>
      <x:c r="I15" s="68" t="n">
        <x:f>ABS(H15)</x:f>
        <x:v>24</x:v>
      </x:c>
      <x:c r="J15" s="70" t="n">
        <x:f>IF(D15=0,"",100*I15/D15)</x:f>
        <x:v>100</x:v>
      </x:c>
      <x:c r="K15" s="72" t="n">
        <x:v>564.65001</x:v>
      </x:c>
      <x:c r="L15" s="72" t="n">
        <x:v>0</x:v>
      </x:c>
      <x:c r="M15" s="72" t="n">
        <x:f>L15-K15</x:f>
        <x:v>-564.65001</x:v>
      </x:c>
      <x:c r="N15" s="72" t="n">
        <x:f>ABS(M15)</x:f>
        <x:v>564.65001</x:v>
      </x:c>
      <x:c r="O15" s="68" t="n">
        <x:f>G15-D15</x:f>
        <x:v>-15</x:v>
      </x:c>
    </x:row>
    <x:row r="16" ht="22" customHeight="1">
      <x:c r="A16" s="68" t="str">
        <x:v>DOWN</x:v>
      </x:c>
      <x:c r="B16" s="68" t="str">
        <x:v>2026-02-13</x:v>
      </x:c>
      <x:c r="C16" s="68" t="str">
        <x:v>평사휴게소</x:v>
      </x:c>
      <x:c r="D16" s="68" t="n">
        <x:v>46</x:v>
      </x:c>
      <x:c r="E16" s="68" t="n">
        <x:v>152</x:v>
      </x:c>
      <x:c r="F16" s="68" t="n">
        <x:v>0</x:v>
      </x:c>
      <x:c r="G16" s="68" t="n">
        <x:v>152</x:v>
      </x:c>
      <x:c r="H16" s="68" t="n">
        <x:f>E16-D16</x:f>
        <x:v>106</x:v>
      </x:c>
      <x:c r="I16" s="68" t="n">
        <x:f>ABS(H16)</x:f>
        <x:v>106</x:v>
      </x:c>
      <x:c r="J16" s="70" t="n">
        <x:f>IF(D16=0,"",100*I16/D16)</x:f>
        <x:v>230.43478260869566</x:v>
      </x:c>
      <x:c r="K16" s="72" t="n">
        <x:v>1075.36666</x:v>
      </x:c>
      <x:c r="L16" s="72" t="n">
        <x:v>1598.487839</x:v>
      </x:c>
      <x:c r="M16" s="72" t="n">
        <x:f>L16-K16</x:f>
        <x:v>523.121179</x:v>
      </x:c>
      <x:c r="N16" s="72" t="n">
        <x:f>ABS(M16)</x:f>
        <x:v>523.121179</x:v>
      </x:c>
      <x:c r="O16" s="68" t="n">
        <x:f>G16-D16</x:f>
        <x:v>106</x:v>
      </x:c>
    </x:row>
    <x:row r="17" ht="22" customHeight="1">
      <x:c r="A17" s="68" t="str">
        <x:v>DOWN</x:v>
      </x:c>
      <x:c r="B17" s="68" t="str">
        <x:v>2026-02-14</x:v>
      </x:c>
      <x:c r="C17" s="68" t="str">
        <x:v>건천휴게소</x:v>
      </x:c>
      <x:c r="D17" s="68" t="n">
        <x:v>121</x:v>
      </x:c>
      <x:c r="E17" s="68" t="n">
        <x:v>58</x:v>
      </x:c>
      <x:c r="F17" s="68" t="n">
        <x:v>0</x:v>
      </x:c>
      <x:c r="G17" s="68" t="n">
        <x:v>58</x:v>
      </x:c>
      <x:c r="H17" s="68" t="n">
        <x:f>E17-D17</x:f>
        <x:v>-63</x:v>
      </x:c>
      <x:c r="I17" s="68" t="n">
        <x:f>ABS(H17)</x:f>
        <x:v>63</x:v>
      </x:c>
      <x:c r="J17" s="70" t="n">
        <x:f>IF(D17=0,"",100*I17/D17)</x:f>
        <x:v>52.06611570247934</x:v>
      </x:c>
      <x:c r="K17" s="72" t="n">
        <x:v>3177.61667</x:v>
      </x:c>
      <x:c r="L17" s="72" t="n">
        <x:v>652.059775</x:v>
      </x:c>
      <x:c r="M17" s="72" t="n">
        <x:f>L17-K17</x:f>
        <x:v>-2525.5568949999997</x:v>
      </x:c>
      <x:c r="N17" s="72" t="n">
        <x:f>ABS(M17)</x:f>
        <x:v>2525.5568949999997</x:v>
      </x:c>
      <x:c r="O17" s="68" t="n">
        <x:f>G17-D17</x:f>
        <x:v>-63</x:v>
      </x:c>
    </x:row>
    <x:row r="18" ht="22" customHeight="1">
      <x:c r="A18" s="68" t="str">
        <x:v>DOWN</x:v>
      </x:c>
      <x:c r="B18" s="68" t="str">
        <x:v>2026-02-14</x:v>
      </x:c>
      <x:c r="C18" s="68" t="str">
        <x:v>금강휴게소</x:v>
      </x:c>
      <x:c r="D18" s="68" t="n">
        <x:v>29</x:v>
      </x:c>
      <x:c r="E18" s="68" t="n">
        <x:v>2</x:v>
      </x:c>
      <x:c r="F18" s="68" t="n">
        <x:v>0</x:v>
      </x:c>
      <x:c r="G18" s="68" t="n">
        <x:v>2</x:v>
      </x:c>
      <x:c r="H18" s="68" t="n">
        <x:f>E18-D18</x:f>
        <x:v>-27</x:v>
      </x:c>
      <x:c r="I18" s="68" t="n">
        <x:f>ABS(H18)</x:f>
        <x:v>27</x:v>
      </x:c>
      <x:c r="J18" s="70" t="n">
        <x:f>IF(D18=0,"",100*I18/D18)</x:f>
        <x:v>93.10344827586206</x:v>
      </x:c>
      <x:c r="K18" s="72" t="n">
        <x:v>826.26666</x:v>
      </x:c>
      <x:c r="L18" s="72" t="n">
        <x:v>166.5624</x:v>
      </x:c>
      <x:c r="M18" s="72" t="n">
        <x:f>L18-K18</x:f>
        <x:v>-659.70426</x:v>
      </x:c>
      <x:c r="N18" s="72" t="n">
        <x:f>ABS(M18)</x:f>
        <x:v>659.70426</x:v>
      </x:c>
      <x:c r="O18" s="68" t="n">
        <x:f>G18-D18</x:f>
        <x:v>-27</x:v>
      </x:c>
    </x:row>
    <x:row r="19" ht="22" customHeight="1">
      <x:c r="A19" s="68" t="str">
        <x:v>DOWN</x:v>
      </x:c>
      <x:c r="B19" s="68" t="str">
        <x:v>2026-02-14</x:v>
      </x:c>
      <x:c r="C19" s="68" t="str">
        <x:v>기흥휴게소</x:v>
      </x:c>
      <x:c r="D19" s="68" t="n">
        <x:v>12</x:v>
      </x:c>
      <x:c r="E19" s="68" t="n">
        <x:v>0</x:v>
      </x:c>
      <x:c r="F19" s="68" t="n">
        <x:v>156</x:v>
      </x:c>
      <x:c r="G19" s="68" t="n">
        <x:v>156</x:v>
      </x:c>
      <x:c r="H19" s="68" t="n">
        <x:f>E19-D19</x:f>
        <x:v>-12</x:v>
      </x:c>
      <x:c r="I19" s="68" t="n">
        <x:f>ABS(H19)</x:f>
        <x:v>12</x:v>
      </x:c>
      <x:c r="J19" s="70" t="n">
        <x:f>IF(D19=0,"",100*I19/D19)</x:f>
        <x:v>100</x:v>
      </x:c>
      <x:c r="K19" s="72" t="n">
        <x:v>375.28333</x:v>
      </x:c>
      <x:c r="L19" s="72" t="n">
        <x:v>0</x:v>
      </x:c>
      <x:c r="M19" s="72" t="n">
        <x:f>L19-K19</x:f>
        <x:v>-375.28333</x:v>
      </x:c>
      <x:c r="N19" s="72" t="n">
        <x:f>ABS(M19)</x:f>
        <x:v>375.28333</x:v>
      </x:c>
      <x:c r="O19" s="68" t="n">
        <x:f>G19-D19</x:f>
        <x:v>144</x:v>
      </x:c>
    </x:row>
    <x:row r="20" ht="22" customHeight="1">
      <x:c r="A20" s="68" t="str">
        <x:v>DOWN</x:v>
      </x:c>
      <x:c r="B20" s="68" t="str">
        <x:v>2026-02-14</x:v>
      </x:c>
      <x:c r="C20" s="68" t="str">
        <x:v>김천휴게소</x:v>
      </x:c>
      <x:c r="D20" s="68" t="n">
        <x:v>53</x:v>
      </x:c>
      <x:c r="E20" s="68" t="n">
        <x:v>38</x:v>
      </x:c>
      <x:c r="F20" s="68" t="n">
        <x:v>0</x:v>
      </x:c>
      <x:c r="G20" s="68" t="n">
        <x:v>38</x:v>
      </x:c>
      <x:c r="H20" s="68" t="n">
        <x:f>E20-D20</x:f>
        <x:v>-15</x:v>
      </x:c>
      <x:c r="I20" s="68" t="n">
        <x:f>ABS(H20)</x:f>
        <x:v>15</x:v>
      </x:c>
      <x:c r="J20" s="70" t="n">
        <x:f>IF(D20=0,"",100*I20/D20)</x:f>
        <x:v>28.30188679245283</x:v>
      </x:c>
      <x:c r="K20" s="72" t="n">
        <x:v>1325.6167</x:v>
      </x:c>
      <x:c r="L20" s="72" t="n">
        <x:v>736.341316</x:v>
      </x:c>
      <x:c r="M20" s="72" t="n">
        <x:f>L20-K20</x:f>
        <x:v>-589.275384</x:v>
      </x:c>
      <x:c r="N20" s="72" t="n">
        <x:f>ABS(M20)</x:f>
        <x:v>589.275384</x:v>
      </x:c>
      <x:c r="O20" s="68" t="n">
        <x:f>G20-D20</x:f>
        <x:v>-15</x:v>
      </x:c>
    </x:row>
    <x:row r="21" ht="22" customHeight="1">
      <x:c r="A21" s="68" t="str">
        <x:v>DOWN</x:v>
      </x:c>
      <x:c r="B21" s="68" t="str">
        <x:v>2026-02-14</x:v>
      </x:c>
      <x:c r="C21" s="68" t="str">
        <x:v>서울만남휴게소</x:v>
      </x:c>
      <x:c r="D21" s="68" t="n">
        <x:v>18</x:v>
      </x:c>
      <x:c r="E21" s="68" t="n">
        <x:v>1</x:v>
      </x:c>
      <x:c r="F21" s="68" t="n">
        <x:v>276</x:v>
      </x:c>
      <x:c r="G21" s="68" t="n">
        <x:v>277</x:v>
      </x:c>
      <x:c r="H21" s="68" t="n">
        <x:f>E21-D21</x:f>
        <x:v>-17</x:v>
      </x:c>
      <x:c r="I21" s="68" t="n">
        <x:f>ABS(H21)</x:f>
        <x:v>17</x:v>
      </x:c>
      <x:c r="J21" s="70" t="n">
        <x:f>IF(D21=0,"",100*I21/D21)</x:f>
        <x:v>94.44444444444444</x:v>
      </x:c>
      <x:c r="K21" s="72" t="n">
        <x:v>489.51667</x:v>
      </x:c>
      <x:c r="L21" s="72" t="n">
        <x:v>0.952344</x:v>
      </x:c>
      <x:c r="M21" s="72" t="n">
        <x:f>L21-K21</x:f>
        <x:v>-488.564326</x:v>
      </x:c>
      <x:c r="N21" s="72" t="n">
        <x:f>ABS(M21)</x:f>
        <x:v>488.564326</x:v>
      </x:c>
      <x:c r="O21" s="68" t="n">
        <x:f>G21-D21</x:f>
        <x:v>259</x:v>
      </x:c>
    </x:row>
    <x:row r="22" ht="22" customHeight="1">
      <x:c r="A22" s="68" t="str">
        <x:v>DOWN</x:v>
      </x:c>
      <x:c r="B22" s="68" t="str">
        <x:v>2026-02-14</x:v>
      </x:c>
      <x:c r="C22" s="68" t="str">
        <x:v>서울하이패스센터쉼터</x:v>
      </x:c>
      <x:c r="D22" s="68" t="n">
        <x:v>19</x:v>
      </x:c>
      <x:c r="E22" s="68" t="n">
        <x:v>2</x:v>
      </x:c>
      <x:c r="F22" s="68" t="n">
        <x:v>0</x:v>
      </x:c>
      <x:c r="G22" s="68" t="n">
        <x:v>2</x:v>
      </x:c>
      <x:c r="H22" s="68" t="n">
        <x:f>E22-D22</x:f>
        <x:v>-17</x:v>
      </x:c>
      <x:c r="I22" s="68" t="n">
        <x:f>ABS(H22)</x:f>
        <x:v>17</x:v>
      </x:c>
      <x:c r="J22" s="70" t="n">
        <x:f>IF(D22=0,"",100*I22/D22)</x:f>
        <x:v>89.47368421052632</x:v>
      </x:c>
      <x:c r="K22" s="72" t="n">
        <x:v>405.96666</x:v>
      </x:c>
      <x:c r="L22" s="72" t="n">
        <x:v>15.948156</x:v>
      </x:c>
      <x:c r="M22" s="72" t="n">
        <x:f>L22-K22</x:f>
        <x:v>-390.018504</x:v>
      </x:c>
      <x:c r="N22" s="72" t="n">
        <x:f>ABS(M22)</x:f>
        <x:v>390.018504</x:v>
      </x:c>
      <x:c r="O22" s="68" t="n">
        <x:f>G22-D22</x:f>
        <x:v>-17</x:v>
      </x:c>
    </x:row>
    <x:row r="23" ht="22" customHeight="1">
      <x:c r="A23" s="68" t="str">
        <x:v>DOWN</x:v>
      </x:c>
      <x:c r="B23" s="68" t="str">
        <x:v>2026-02-14</x:v>
      </x:c>
      <x:c r="C23" s="68" t="str">
        <x:v>안성휴게소</x:v>
      </x:c>
      <x:c r="D23" s="68" t="n">
        <x:v>33</x:v>
      </x:c>
      <x:c r="E23" s="68" t="n">
        <x:v>7</x:v>
      </x:c>
      <x:c r="F23" s="68" t="n">
        <x:v>182</x:v>
      </x:c>
      <x:c r="G23" s="68" t="n">
        <x:v>189</x:v>
      </x:c>
      <x:c r="H23" s="68" t="n">
        <x:f>E23-D23</x:f>
        <x:v>-26</x:v>
      </x:c>
      <x:c r="I23" s="68" t="n">
        <x:f>ABS(H23)</x:f>
        <x:v>26</x:v>
      </x:c>
      <x:c r="J23" s="70" t="n">
        <x:f>IF(D23=0,"",100*I23/D23)</x:f>
        <x:v>78.78787878787878</x:v>
      </x:c>
      <x:c r="K23" s="72" t="n">
        <x:v>954.49999</x:v>
      </x:c>
      <x:c r="L23" s="72" t="n">
        <x:v>66.743761</x:v>
      </x:c>
      <x:c r="M23" s="72" t="n">
        <x:f>L23-K23</x:f>
        <x:v>-887.7562290000001</x:v>
      </x:c>
      <x:c r="N23" s="72" t="n">
        <x:f>ABS(M23)</x:f>
        <x:v>887.7562290000001</x:v>
      </x:c>
      <x:c r="O23" s="68" t="n">
        <x:f>G23-D23</x:f>
        <x:v>156</x:v>
      </x:c>
    </x:row>
    <x:row r="24" ht="22" customHeight="1">
      <x:c r="A24" s="68" t="str">
        <x:v>DOWN</x:v>
      </x:c>
      <x:c r="B24" s="68" t="str">
        <x:v>2026-02-14</x:v>
      </x:c>
      <x:c r="C24" s="68" t="str">
        <x:v>옥산휴게소</x:v>
      </x:c>
      <x:c r="D24" s="68" t="n">
        <x:v>42</x:v>
      </x:c>
      <x:c r="E24" s="68" t="n">
        <x:v>63</x:v>
      </x:c>
      <x:c r="F24" s="68" t="n">
        <x:v>9</x:v>
      </x:c>
      <x:c r="G24" s="68" t="n">
        <x:v>72</x:v>
      </x:c>
      <x:c r="H24" s="68" t="n">
        <x:f>E24-D24</x:f>
        <x:v>21</x:v>
      </x:c>
      <x:c r="I24" s="68" t="n">
        <x:f>ABS(H24)</x:f>
        <x:v>21</x:v>
      </x:c>
      <x:c r="J24" s="70" t="n">
        <x:f>IF(D24=0,"",100*I24/D24)</x:f>
        <x:v>50</x:v>
      </x:c>
      <x:c r="K24" s="72" t="n">
        <x:v>1199.65</x:v>
      </x:c>
      <x:c r="L24" s="72" t="n">
        <x:v>1013.060111</x:v>
      </x:c>
      <x:c r="M24" s="72" t="n">
        <x:f>L24-K24</x:f>
        <x:v>-186.58988900000008</x:v>
      </x:c>
      <x:c r="N24" s="72" t="n">
        <x:f>ABS(M24)</x:f>
        <x:v>186.58988900000008</x:v>
      </x:c>
      <x:c r="O24" s="68" t="n">
        <x:f>G24-D24</x:f>
        <x:v>30</x:v>
      </x:c>
    </x:row>
    <x:row r="25" ht="22" customHeight="1">
      <x:c r="A25" s="68" t="str">
        <x:v>DOWN</x:v>
      </x:c>
      <x:c r="B25" s="68" t="str">
        <x:v>2026-02-14</x:v>
      </x:c>
      <x:c r="C25" s="68" t="str">
        <x:v>옥천만남휴게소</x:v>
      </x:c>
      <x:c r="D25" s="68" t="n">
        <x:v>2</x:v>
      </x:c>
      <x:c r="E25" s="68" t="n">
        <x:v>0</x:v>
      </x:c>
      <x:c r="F25" s="68" t="n">
        <x:v>0</x:v>
      </x:c>
      <x:c r="G25" s="68" t="n">
        <x:v>0</x:v>
      </x:c>
      <x:c r="H25" s="68" t="n">
        <x:f>E25-D25</x:f>
        <x:v>-2</x:v>
      </x:c>
      <x:c r="I25" s="68" t="n">
        <x:f>ABS(H25)</x:f>
        <x:v>2</x:v>
      </x:c>
      <x:c r="J25" s="70" t="n">
        <x:f>IF(D25=0,"",100*I25/D25)</x:f>
        <x:v>100</x:v>
      </x:c>
      <x:c r="K25" s="72" t="n">
        <x:v>83.21667</x:v>
      </x:c>
      <x:c r="L25" s="72" t="n">
        <x:v>0</x:v>
      </x:c>
      <x:c r="M25" s="72" t="n">
        <x:f>L25-K25</x:f>
        <x:v>-83.21667</x:v>
      </x:c>
      <x:c r="N25" s="72" t="n">
        <x:f>ABS(M25)</x:f>
        <x:v>83.21667</x:v>
      </x:c>
      <x:c r="O25" s="68" t="n">
        <x:f>G25-D25</x:f>
        <x:v>-2</x:v>
      </x:c>
    </x:row>
    <x:row r="26" ht="22" customHeight="1">
      <x:c r="A26" s="68" t="str">
        <x:v>DOWN</x:v>
      </x:c>
      <x:c r="B26" s="68" t="str">
        <x:v>2026-02-14</x:v>
      </x:c>
      <x:c r="C26" s="68" t="str">
        <x:v>옥천휴게소</x:v>
      </x:c>
      <x:c r="D26" s="68" t="n">
        <x:v>6</x:v>
      </x:c>
      <x:c r="E26" s="68" t="n">
        <x:v>1</x:v>
      </x:c>
      <x:c r="F26" s="68" t="n">
        <x:v>208</x:v>
      </x:c>
      <x:c r="G26" s="68" t="n">
        <x:v>209</x:v>
      </x:c>
      <x:c r="H26" s="68" t="n">
        <x:f>E26-D26</x:f>
        <x:v>-5</x:v>
      </x:c>
      <x:c r="I26" s="68" t="n">
        <x:f>ABS(H26)</x:f>
        <x:v>5</x:v>
      </x:c>
      <x:c r="J26" s="70" t="n">
        <x:f>IF(D26=0,"",100*I26/D26)</x:f>
        <x:v>83.33333333333333</x:v>
      </x:c>
      <x:c r="K26" s="72" t="n">
        <x:v>148.68332</x:v>
      </x:c>
      <x:c r="L26" s="72" t="n">
        <x:v>10.210656</x:v>
      </x:c>
      <x:c r="M26" s="72" t="n">
        <x:f>L26-K26</x:f>
        <x:v>-138.472664</x:v>
      </x:c>
      <x:c r="N26" s="72" t="n">
        <x:f>ABS(M26)</x:f>
        <x:v>138.472664</x:v>
      </x:c>
      <x:c r="O26" s="68" t="n">
        <x:f>G26-D26</x:f>
        <x:v>203</x:v>
      </x:c>
    </x:row>
    <x:row r="27" ht="22" customHeight="1">
      <x:c r="A27" s="68" t="str">
        <x:v>DOWN</x:v>
      </x:c>
      <x:c r="B27" s="68" t="str">
        <x:v>2026-02-14</x:v>
      </x:c>
      <x:c r="C27" s="68" t="str">
        <x:v>천안호두휴게소</x:v>
      </x:c>
      <x:c r="D27" s="68" t="n">
        <x:v>42</x:v>
      </x:c>
      <x:c r="E27" s="68" t="n">
        <x:v>0</x:v>
      </x:c>
      <x:c r="F27" s="68" t="n">
        <x:v>24</x:v>
      </x:c>
      <x:c r="G27" s="68" t="n">
        <x:v>24</x:v>
      </x:c>
      <x:c r="H27" s="68" t="n">
        <x:f>E27-D27</x:f>
        <x:v>-42</x:v>
      </x:c>
      <x:c r="I27" s="68" t="n">
        <x:f>ABS(H27)</x:f>
        <x:v>42</x:v>
      </x:c>
      <x:c r="J27" s="70" t="n">
        <x:f>IF(D27=0,"",100*I27/D27)</x:f>
        <x:v>100</x:v>
      </x:c>
      <x:c r="K27" s="72" t="n">
        <x:v>1267.01665</x:v>
      </x:c>
      <x:c r="L27" s="72" t="n">
        <x:v>0</x:v>
      </x:c>
      <x:c r="M27" s="72" t="n">
        <x:f>L27-K27</x:f>
        <x:v>-1267.01665</x:v>
      </x:c>
      <x:c r="N27" s="72" t="n">
        <x:f>ABS(M27)</x:f>
        <x:v>1267.01665</x:v>
      </x:c>
      <x:c r="O27" s="68" t="n">
        <x:f>G27-D27</x:f>
        <x:v>-18</x:v>
      </x:c>
    </x:row>
    <x:row r="28" ht="22" customHeight="1">
      <x:c r="A28" s="68" t="str">
        <x:v>DOWN</x:v>
      </x:c>
      <x:c r="B28" s="68" t="str">
        <x:v>2026-02-14</x:v>
      </x:c>
      <x:c r="C28" s="68" t="str">
        <x:v>추풍령휴게소</x:v>
      </x:c>
      <x:c r="D28" s="68" t="n">
        <x:v>33</x:v>
      </x:c>
      <x:c r="E28" s="68" t="n">
        <x:v>67</x:v>
      </x:c>
      <x:c r="F28" s="68" t="n">
        <x:v>22</x:v>
      </x:c>
      <x:c r="G28" s="68" t="n">
        <x:v>89</x:v>
      </x:c>
      <x:c r="H28" s="68" t="n">
        <x:f>E28-D28</x:f>
        <x:v>34</x:v>
      </x:c>
      <x:c r="I28" s="68" t="n">
        <x:f>ABS(H28)</x:f>
        <x:v>34</x:v>
      </x:c>
      <x:c r="J28" s="70" t="n">
        <x:f>IF(D28=0,"",100*I28/D28)</x:f>
        <x:v>103.03030303030303</x:v>
      </x:c>
      <x:c r="K28" s="72" t="n">
        <x:v>780.26668</x:v>
      </x:c>
      <x:c r="L28" s="72" t="n">
        <x:v>942.434465</x:v>
      </x:c>
      <x:c r="M28" s="72" t="n">
        <x:f>L28-K28</x:f>
        <x:v>162.1677850000001</x:v>
      </x:c>
      <x:c r="N28" s="72" t="n">
        <x:f>ABS(M28)</x:f>
        <x:v>162.1677850000001</x:v>
      </x:c>
      <x:c r="O28" s="68" t="n">
        <x:f>G28-D28</x:f>
        <x:v>56</x:v>
      </x:c>
    </x:row>
    <x:row r="29" ht="22" customHeight="1">
      <x:c r="A29" s="68" t="str">
        <x:v>DOWN</x:v>
      </x:c>
      <x:c r="B29" s="68" t="str">
        <x:v>2026-02-14</x:v>
      </x:c>
      <x:c r="C29" s="68" t="str">
        <x:v>칠곡휴게소</x:v>
      </x:c>
      <x:c r="D29" s="68" t="n">
        <x:v>177</x:v>
      </x:c>
      <x:c r="E29" s="68" t="n">
        <x:v>15</x:v>
      </x:c>
      <x:c r="F29" s="68" t="n">
        <x:v>241</x:v>
      </x:c>
      <x:c r="G29" s="68" t="n">
        <x:v>256</x:v>
      </x:c>
      <x:c r="H29" s="68" t="n">
        <x:f>E29-D29</x:f>
        <x:v>-162</x:v>
      </x:c>
      <x:c r="I29" s="68" t="n">
        <x:f>ABS(H29)</x:f>
        <x:v>162</x:v>
      </x:c>
      <x:c r="J29" s="70" t="n">
        <x:f>IF(D29=0,"",100*I29/D29)</x:f>
        <x:v>91.52542372881356</x:v>
      </x:c>
      <x:c r="K29" s="72" t="n">
        <x:v>4932.34998</x:v>
      </x:c>
      <x:c r="L29" s="72" t="n">
        <x:v>260.975987</x:v>
      </x:c>
      <x:c r="M29" s="72" t="n">
        <x:f>L29-K29</x:f>
        <x:v>-4671.373993</x:v>
      </x:c>
      <x:c r="N29" s="72" t="n">
        <x:f>ABS(M29)</x:f>
        <x:v>4671.373993</x:v>
      </x:c>
      <x:c r="O29" s="68" t="n">
        <x:f>G29-D29</x:f>
        <x:v>79</x:v>
      </x:c>
    </x:row>
    <x:row r="30" ht="22" customHeight="1">
      <x:c r="A30" s="68" t="str">
        <x:v>DOWN</x:v>
      </x:c>
      <x:c r="B30" s="68" t="str">
        <x:v>2026-02-14</x:v>
      </x:c>
      <x:c r="C30" s="68" t="str">
        <x:v>통도사휴게소</x:v>
      </x:c>
      <x:c r="D30" s="68" t="n">
        <x:v>32</x:v>
      </x:c>
      <x:c r="E30" s="68" t="n">
        <x:v>0</x:v>
      </x:c>
      <x:c r="F30" s="68" t="n">
        <x:v>3</x:v>
      </x:c>
      <x:c r="G30" s="68" t="n">
        <x:v>3</x:v>
      </x:c>
      <x:c r="H30" s="68" t="n">
        <x:f>E30-D30</x:f>
        <x:v>-32</x:v>
      </x:c>
      <x:c r="I30" s="68" t="n">
        <x:f>ABS(H30)</x:f>
        <x:v>32</x:v>
      </x:c>
      <x:c r="J30" s="70" t="n">
        <x:f>IF(D30=0,"",100*I30/D30)</x:f>
        <x:v>100</x:v>
      </x:c>
      <x:c r="K30" s="72" t="n">
        <x:v>794.51666</x:v>
      </x:c>
      <x:c r="L30" s="72" t="n">
        <x:v>0</x:v>
      </x:c>
      <x:c r="M30" s="72" t="n">
        <x:f>L30-K30</x:f>
        <x:v>-794.51666</x:v>
      </x:c>
      <x:c r="N30" s="72" t="n">
        <x:f>ABS(M30)</x:f>
        <x:v>794.51666</x:v>
      </x:c>
      <x:c r="O30" s="68" t="n">
        <x:f>G30-D30</x:f>
        <x:v>-29</x:v>
      </x:c>
    </x:row>
    <x:row r="31" ht="22" customHeight="1">
      <x:c r="A31" s="68" t="str">
        <x:v>DOWN</x:v>
      </x:c>
      <x:c r="B31" s="68" t="str">
        <x:v>2026-02-14</x:v>
      </x:c>
      <x:c r="C31" s="68" t="str">
        <x:v>평사휴게소</x:v>
      </x:c>
      <x:c r="D31" s="68" t="n">
        <x:v>48</x:v>
      </x:c>
      <x:c r="E31" s="68" t="n">
        <x:v>159</x:v>
      </x:c>
      <x:c r="F31" s="68" t="n">
        <x:v>0</x:v>
      </x:c>
      <x:c r="G31" s="68" t="n">
        <x:v>159</x:v>
      </x:c>
      <x:c r="H31" s="68" t="n">
        <x:f>E31-D31</x:f>
        <x:v>111</x:v>
      </x:c>
      <x:c r="I31" s="68" t="n">
        <x:f>ABS(H31)</x:f>
        <x:v>111</x:v>
      </x:c>
      <x:c r="J31" s="70" t="n">
        <x:f>IF(D31=0,"",100*I31/D31)</x:f>
        <x:v>231.25</x:v>
      </x:c>
      <x:c r="K31" s="72" t="n">
        <x:v>1112.01668</x:v>
      </x:c>
      <x:c r="L31" s="72" t="n">
        <x:v>1729.910659</x:v>
      </x:c>
      <x:c r="M31" s="72" t="n">
        <x:f>L31-K31</x:f>
        <x:v>617.893979</x:v>
      </x:c>
      <x:c r="N31" s="72" t="n">
        <x:f>ABS(M31)</x:f>
        <x:v>617.893979</x:v>
      </x:c>
      <x:c r="O31" s="68" t="n">
        <x:f>G31-D31</x:f>
        <x:v>111</x:v>
      </x:c>
    </x:row>
    <x:row r="32" ht="22" customHeight="1">
      <x:c r="A32" s="68" t="str">
        <x:v>DOWN</x:v>
      </x:c>
      <x:c r="B32" s="68" t="str">
        <x:v>2026-02-15</x:v>
      </x:c>
      <x:c r="C32" s="68" t="str">
        <x:v>건천휴게소</x:v>
      </x:c>
      <x:c r="D32" s="68" t="n">
        <x:v>90</x:v>
      </x:c>
      <x:c r="E32" s="68" t="n">
        <x:v>67</x:v>
      </x:c>
      <x:c r="F32" s="68" t="n">
        <x:v>0</x:v>
      </x:c>
      <x:c r="G32" s="68" t="n">
        <x:v>67</x:v>
      </x:c>
      <x:c r="H32" s="68" t="n">
        <x:f>E32-D32</x:f>
        <x:v>-23</x:v>
      </x:c>
      <x:c r="I32" s="68" t="n">
        <x:f>ABS(H32)</x:f>
        <x:v>23</x:v>
      </x:c>
      <x:c r="J32" s="70" t="n">
        <x:f>IF(D32=0,"",100*I32/D32)</x:f>
        <x:v>25.555555555555557</x:v>
      </x:c>
      <x:c r="K32" s="72" t="n">
        <x:v>2359.98333</x:v>
      </x:c>
      <x:c r="L32" s="72" t="n">
        <x:v>718.536954</x:v>
      </x:c>
      <x:c r="M32" s="72" t="n">
        <x:f>L32-K32</x:f>
        <x:v>-1641.4463759999999</x:v>
      </x:c>
      <x:c r="N32" s="72" t="n">
        <x:f>ABS(M32)</x:f>
        <x:v>1641.4463759999999</x:v>
      </x:c>
      <x:c r="O32" s="68" t="n">
        <x:f>G32-D32</x:f>
        <x:v>-23</x:v>
      </x:c>
    </x:row>
    <x:row r="33" ht="22" customHeight="1">
      <x:c r="A33" s="68" t="str">
        <x:v>DOWN</x:v>
      </x:c>
      <x:c r="B33" s="68" t="str">
        <x:v>2026-02-15</x:v>
      </x:c>
      <x:c r="C33" s="68" t="str">
        <x:v>금강휴게소</x:v>
      </x:c>
      <x:c r="D33" s="68" t="n">
        <x:v>35</x:v>
      </x:c>
      <x:c r="E33" s="68" t="n">
        <x:v>1</x:v>
      </x:c>
      <x:c r="F33" s="68" t="n">
        <x:v>0</x:v>
      </x:c>
      <x:c r="G33" s="68" t="n">
        <x:v>1</x:v>
      </x:c>
      <x:c r="H33" s="68" t="n">
        <x:f>E33-D33</x:f>
        <x:v>-34</x:v>
      </x:c>
      <x:c r="I33" s="68" t="n">
        <x:f>ABS(H33)</x:f>
        <x:v>34</x:v>
      </x:c>
      <x:c r="J33" s="70" t="n">
        <x:f>IF(D33=0,"",100*I33/D33)</x:f>
        <x:v>97.14285714285714</x:v>
      </x:c>
      <x:c r="K33" s="72" t="n">
        <x:v>1114.68333</x:v>
      </x:c>
      <x:c r="L33" s="72" t="n">
        <x:v>53.009199</x:v>
      </x:c>
      <x:c r="M33" s="72" t="n">
        <x:f>L33-K33</x:f>
        <x:v>-1061.674131</x:v>
      </x:c>
      <x:c r="N33" s="72" t="n">
        <x:f>ABS(M33)</x:f>
        <x:v>1061.674131</x:v>
      </x:c>
      <x:c r="O33" s="68" t="n">
        <x:f>G33-D33</x:f>
        <x:v>-34</x:v>
      </x:c>
    </x:row>
    <x:row r="34" ht="22" customHeight="1">
      <x:c r="A34" s="68" t="str">
        <x:v>DOWN</x:v>
      </x:c>
      <x:c r="B34" s="68" t="str">
        <x:v>2026-02-15</x:v>
      </x:c>
      <x:c r="C34" s="68" t="str">
        <x:v>기흥휴게소</x:v>
      </x:c>
      <x:c r="D34" s="68" t="n">
        <x:v>9</x:v>
      </x:c>
      <x:c r="E34" s="68" t="n">
        <x:v>0</x:v>
      </x:c>
      <x:c r="F34" s="68" t="n">
        <x:v>176</x:v>
      </x:c>
      <x:c r="G34" s="68" t="n">
        <x:v>176</x:v>
      </x:c>
      <x:c r="H34" s="68" t="n">
        <x:f>E34-D34</x:f>
        <x:v>-9</x:v>
      </x:c>
      <x:c r="I34" s="68" t="n">
        <x:f>ABS(H34)</x:f>
        <x:v>9</x:v>
      </x:c>
      <x:c r="J34" s="70" t="n">
        <x:f>IF(D34=0,"",100*I34/D34)</x:f>
        <x:v>100</x:v>
      </x:c>
      <x:c r="K34" s="72" t="n">
        <x:v>283.7</x:v>
      </x:c>
      <x:c r="L34" s="72" t="n">
        <x:v>0</x:v>
      </x:c>
      <x:c r="M34" s="72" t="n">
        <x:f>L34-K34</x:f>
        <x:v>-283.7</x:v>
      </x:c>
      <x:c r="N34" s="72" t="n">
        <x:f>ABS(M34)</x:f>
        <x:v>283.7</x:v>
      </x:c>
      <x:c r="O34" s="68" t="n">
        <x:f>G34-D34</x:f>
        <x:v>167</x:v>
      </x:c>
    </x:row>
    <x:row r="35" ht="22" customHeight="1">
      <x:c r="A35" s="68" t="str">
        <x:v>DOWN</x:v>
      </x:c>
      <x:c r="B35" s="68" t="str">
        <x:v>2026-02-15</x:v>
      </x:c>
      <x:c r="C35" s="68" t="str">
        <x:v>김천휴게소</x:v>
      </x:c>
      <x:c r="D35" s="68" t="n">
        <x:v>48</x:v>
      </x:c>
      <x:c r="E35" s="68" t="n">
        <x:v>40</x:v>
      </x:c>
      <x:c r="F35" s="68" t="n">
        <x:v>0</x:v>
      </x:c>
      <x:c r="G35" s="68" t="n">
        <x:v>40</x:v>
      </x:c>
      <x:c r="H35" s="68" t="n">
        <x:f>E35-D35</x:f>
        <x:v>-8</x:v>
      </x:c>
      <x:c r="I35" s="68" t="n">
        <x:f>ABS(H35)</x:f>
        <x:v>8</x:v>
      </x:c>
      <x:c r="J35" s="70" t="n">
        <x:f>IF(D35=0,"",100*I35/D35)</x:f>
        <x:v>16.666666666666668</x:v>
      </x:c>
      <x:c r="K35" s="72" t="n">
        <x:v>1223.03334</x:v>
      </x:c>
      <x:c r="L35" s="72" t="n">
        <x:v>922.053691</x:v>
      </x:c>
      <x:c r="M35" s="72" t="n">
        <x:f>L35-K35</x:f>
        <x:v>-300.979649</x:v>
      </x:c>
      <x:c r="N35" s="72" t="n">
        <x:f>ABS(M35)</x:f>
        <x:v>300.979649</x:v>
      </x:c>
      <x:c r="O35" s="68" t="n">
        <x:f>G35-D35</x:f>
        <x:v>-8</x:v>
      </x:c>
    </x:row>
    <x:row r="36" ht="22" customHeight="1">
      <x:c r="A36" s="68" t="str">
        <x:v>DOWN</x:v>
      </x:c>
      <x:c r="B36" s="68" t="str">
        <x:v>2026-02-15</x:v>
      </x:c>
      <x:c r="C36" s="68" t="str">
        <x:v>서울만남휴게소</x:v>
      </x:c>
      <x:c r="D36" s="68" t="n">
        <x:v>8</x:v>
      </x:c>
      <x:c r="E36" s="68" t="n">
        <x:v>1</x:v>
      </x:c>
      <x:c r="F36" s="68" t="n">
        <x:v>265</x:v>
      </x:c>
      <x:c r="G36" s="68" t="n">
        <x:v>266</x:v>
      </x:c>
      <x:c r="H36" s="68" t="n">
        <x:f>E36-D36</x:f>
        <x:v>-7</x:v>
      </x:c>
      <x:c r="I36" s="68" t="n">
        <x:f>ABS(H36)</x:f>
        <x:v>7</x:v>
      </x:c>
      <x:c r="J36" s="70" t="n">
        <x:f>IF(D36=0,"",100*I36/D36)</x:f>
        <x:v>87.5</x:v>
      </x:c>
      <x:c r="K36" s="72" t="n">
        <x:v>250.83332</x:v>
      </x:c>
      <x:c r="L36" s="72" t="n">
        <x:v>1.264361</x:v>
      </x:c>
      <x:c r="M36" s="72" t="n">
        <x:f>L36-K36</x:f>
        <x:v>-249.56895899999998</x:v>
      </x:c>
      <x:c r="N36" s="72" t="n">
        <x:f>ABS(M36)</x:f>
        <x:v>249.56895899999998</x:v>
      </x:c>
      <x:c r="O36" s="68" t="n">
        <x:f>G36-D36</x:f>
        <x:v>258</x:v>
      </x:c>
    </x:row>
    <x:row r="37" ht="22" customHeight="1">
      <x:c r="A37" s="68" t="str">
        <x:v>DOWN</x:v>
      </x:c>
      <x:c r="B37" s="68" t="str">
        <x:v>2026-02-15</x:v>
      </x:c>
      <x:c r="C37" s="68" t="str">
        <x:v>서울하이패스센터쉼터</x:v>
      </x:c>
      <x:c r="D37" s="68" t="n">
        <x:v>17</x:v>
      </x:c>
      <x:c r="E37" s="68" t="n">
        <x:v>3</x:v>
      </x:c>
      <x:c r="F37" s="68" t="n">
        <x:v>0</x:v>
      </x:c>
      <x:c r="G37" s="68" t="n">
        <x:v>3</x:v>
      </x:c>
      <x:c r="H37" s="68" t="n">
        <x:f>E37-D37</x:f>
        <x:v>-14</x:v>
      </x:c>
      <x:c r="I37" s="68" t="n">
        <x:f>ABS(H37)</x:f>
        <x:v>14</x:v>
      </x:c>
      <x:c r="J37" s="70" t="n">
        <x:f>IF(D37=0,"",100*I37/D37)</x:f>
        <x:v>82.3529411764706</x:v>
      </x:c>
      <x:c r="K37" s="72" t="n">
        <x:v>436.78334</x:v>
      </x:c>
      <x:c r="L37" s="72" t="n">
        <x:v>23.995447</x:v>
      </x:c>
      <x:c r="M37" s="72" t="n">
        <x:f>L37-K37</x:f>
        <x:v>-412.787893</x:v>
      </x:c>
      <x:c r="N37" s="72" t="n">
        <x:f>ABS(M37)</x:f>
        <x:v>412.787893</x:v>
      </x:c>
      <x:c r="O37" s="68" t="n">
        <x:f>G37-D37</x:f>
        <x:v>-14</x:v>
      </x:c>
    </x:row>
    <x:row r="38" ht="22" customHeight="1">
      <x:c r="A38" s="68" t="str">
        <x:v>DOWN</x:v>
      </x:c>
      <x:c r="B38" s="68" t="str">
        <x:v>2026-02-15</x:v>
      </x:c>
      <x:c r="C38" s="68" t="str">
        <x:v>안성휴게소</x:v>
      </x:c>
      <x:c r="D38" s="68" t="n">
        <x:v>38</x:v>
      </x:c>
      <x:c r="E38" s="68" t="n">
        <x:v>0</x:v>
      </x:c>
      <x:c r="F38" s="68" t="n">
        <x:v>174</x:v>
      </x:c>
      <x:c r="G38" s="68" t="n">
        <x:v>174</x:v>
      </x:c>
      <x:c r="H38" s="68" t="n">
        <x:f>E38-D38</x:f>
        <x:v>-38</x:v>
      </x:c>
      <x:c r="I38" s="68" t="n">
        <x:f>ABS(H38)</x:f>
        <x:v>38</x:v>
      </x:c>
      <x:c r="J38" s="70" t="n">
        <x:f>IF(D38=0,"",100*I38/D38)</x:f>
        <x:v>100</x:v>
      </x:c>
      <x:c r="K38" s="72" t="n">
        <x:v>1226.7</x:v>
      </x:c>
      <x:c r="L38" s="72" t="n">
        <x:v>0</x:v>
      </x:c>
      <x:c r="M38" s="72" t="n">
        <x:f>L38-K38</x:f>
        <x:v>-1226.7</x:v>
      </x:c>
      <x:c r="N38" s="72" t="n">
        <x:f>ABS(M38)</x:f>
        <x:v>1226.7</x:v>
      </x:c>
      <x:c r="O38" s="68" t="n">
        <x:f>G38-D38</x:f>
        <x:v>136</x:v>
      </x:c>
    </x:row>
    <x:row r="39" ht="22" customHeight="1">
      <x:c r="A39" s="68" t="str">
        <x:v>DOWN</x:v>
      </x:c>
      <x:c r="B39" s="68" t="str">
        <x:v>2026-02-15</x:v>
      </x:c>
      <x:c r="C39" s="68" t="str">
        <x:v>옥산휴게소</x:v>
      </x:c>
      <x:c r="D39" s="68" t="n">
        <x:v>47</x:v>
      </x:c>
      <x:c r="E39" s="68" t="n">
        <x:v>41</x:v>
      </x:c>
      <x:c r="F39" s="68" t="n">
        <x:v>5</x:v>
      </x:c>
      <x:c r="G39" s="68" t="n">
        <x:v>46</x:v>
      </x:c>
      <x:c r="H39" s="68" t="n">
        <x:f>E39-D39</x:f>
        <x:v>-6</x:v>
      </x:c>
      <x:c r="I39" s="68" t="n">
        <x:f>ABS(H39)</x:f>
        <x:v>6</x:v>
      </x:c>
      <x:c r="J39" s="70" t="n">
        <x:f>IF(D39=0,"",100*I39/D39)</x:f>
        <x:v>12.76595744680851</x:v>
      </x:c>
      <x:c r="K39" s="72" t="n">
        <x:v>1466.89999</x:v>
      </x:c>
      <x:c r="L39" s="72" t="n">
        <x:v>677.425103</x:v>
      </x:c>
      <x:c r="M39" s="72" t="n">
        <x:f>L39-K39</x:f>
        <x:v>-789.4748869999999</x:v>
      </x:c>
      <x:c r="N39" s="72" t="n">
        <x:f>ABS(M39)</x:f>
        <x:v>789.4748869999999</x:v>
      </x:c>
      <x:c r="O39" s="68" t="n">
        <x:f>G39-D39</x:f>
        <x:v>-1</x:v>
      </x:c>
    </x:row>
    <x:row r="40" ht="22" customHeight="1">
      <x:c r="A40" s="68" t="str">
        <x:v>DOWN</x:v>
      </x:c>
      <x:c r="B40" s="68" t="str">
        <x:v>2026-02-15</x:v>
      </x:c>
      <x:c r="C40" s="68" t="str">
        <x:v>옥천만남휴게소</x:v>
      </x:c>
      <x:c r="D40" s="68" t="n">
        <x:v>0</x:v>
      </x:c>
      <x:c r="E40" s="68" t="n">
        <x:v>0</x:v>
      </x:c>
      <x:c r="F40" s="68" t="n">
        <x:v>0</x:v>
      </x:c>
      <x:c r="G40" s="68" t="n">
        <x:v>0</x:v>
      </x:c>
      <x:c r="H40" s="68" t="n">
        <x:f>E40-D40</x:f>
        <x:v>0</x:v>
      </x:c>
      <x:c r="I40" s="68" t="n">
        <x:f>ABS(H40)</x:f>
        <x:v>0</x:v>
      </x:c>
      <x:c r="J40" s="70" t="str">
        <x:f>IF(D40=0,"",100*I40/D40)</x:f>
      </x:c>
      <x:c r="K40" s="72" t="n">
        <x:v>0</x:v>
      </x:c>
      <x:c r="L40" s="72" t="n">
        <x:v>0</x:v>
      </x:c>
      <x:c r="M40" s="72" t="n">
        <x:f>L40-K40</x:f>
        <x:v>0</x:v>
      </x:c>
      <x:c r="N40" s="72" t="n">
        <x:f>ABS(M40)</x:f>
        <x:v>0</x:v>
      </x:c>
      <x:c r="O40" s="68" t="n">
        <x:f>G40-D40</x:f>
        <x:v>0</x:v>
      </x:c>
    </x:row>
    <x:row r="41" ht="22" customHeight="1">
      <x:c r="A41" s="68" t="str">
        <x:v>DOWN</x:v>
      </x:c>
      <x:c r="B41" s="68" t="str">
        <x:v>2026-02-15</x:v>
      </x:c>
      <x:c r="C41" s="68" t="str">
        <x:v>옥천휴게소</x:v>
      </x:c>
      <x:c r="D41" s="68" t="n">
        <x:v>13</x:v>
      </x:c>
      <x:c r="E41" s="68" t="n">
        <x:v>1</x:v>
      </x:c>
      <x:c r="F41" s="68" t="n">
        <x:v>201</x:v>
      </x:c>
      <x:c r="G41" s="68" t="n">
        <x:v>202</x:v>
      </x:c>
      <x:c r="H41" s="68" t="n">
        <x:f>E41-D41</x:f>
        <x:v>-12</x:v>
      </x:c>
      <x:c r="I41" s="68" t="n">
        <x:f>ABS(H41)</x:f>
        <x:v>12</x:v>
      </x:c>
      <x:c r="J41" s="70" t="n">
        <x:f>IF(D41=0,"",100*I41/D41)</x:f>
        <x:v>92.3076923076923</x:v>
      </x:c>
      <x:c r="K41" s="72" t="n">
        <x:v>354.23334</x:v>
      </x:c>
      <x:c r="L41" s="72" t="n">
        <x:v>27.713951</x:v>
      </x:c>
      <x:c r="M41" s="72" t="n">
        <x:f>L41-K41</x:f>
        <x:v>-326.519389</x:v>
      </x:c>
      <x:c r="N41" s="72" t="n">
        <x:f>ABS(M41)</x:f>
        <x:v>326.519389</x:v>
      </x:c>
      <x:c r="O41" s="68" t="n">
        <x:f>G41-D41</x:f>
        <x:v>189</x:v>
      </x:c>
    </x:row>
    <x:row r="42" ht="22" customHeight="1">
      <x:c r="A42" s="68" t="str">
        <x:v>DOWN</x:v>
      </x:c>
      <x:c r="B42" s="68" t="str">
        <x:v>2026-02-15</x:v>
      </x:c>
      <x:c r="C42" s="68" t="str">
        <x:v>천안호두휴게소</x:v>
      </x:c>
      <x:c r="D42" s="68" t="n">
        <x:v>46</x:v>
      </x:c>
      <x:c r="E42" s="68" t="n">
        <x:v>0</x:v>
      </x:c>
      <x:c r="F42" s="68" t="n">
        <x:v>33</x:v>
      </x:c>
      <x:c r="G42" s="68" t="n">
        <x:v>33</x:v>
      </x:c>
      <x:c r="H42" s="68" t="n">
        <x:f>E42-D42</x:f>
        <x:v>-46</x:v>
      </x:c>
      <x:c r="I42" s="68" t="n">
        <x:f>ABS(H42)</x:f>
        <x:v>46</x:v>
      </x:c>
      <x:c r="J42" s="70" t="n">
        <x:f>IF(D42=0,"",100*I42/D42)</x:f>
        <x:v>100</x:v>
      </x:c>
      <x:c r="K42" s="72" t="n">
        <x:v>1131.78332</x:v>
      </x:c>
      <x:c r="L42" s="72" t="n">
        <x:v>0</x:v>
      </x:c>
      <x:c r="M42" s="72" t="n">
        <x:f>L42-K42</x:f>
        <x:v>-1131.78332</x:v>
      </x:c>
      <x:c r="N42" s="72" t="n">
        <x:f>ABS(M42)</x:f>
        <x:v>1131.78332</x:v>
      </x:c>
      <x:c r="O42" s="68" t="n">
        <x:f>G42-D42</x:f>
        <x:v>-13</x:v>
      </x:c>
    </x:row>
    <x:row r="43" ht="22" customHeight="1">
      <x:c r="A43" s="68" t="str">
        <x:v>DOWN</x:v>
      </x:c>
      <x:c r="B43" s="68" t="str">
        <x:v>2026-02-15</x:v>
      </x:c>
      <x:c r="C43" s="68" t="str">
        <x:v>추풍령휴게소</x:v>
      </x:c>
      <x:c r="D43" s="68" t="n">
        <x:v>28</x:v>
      </x:c>
      <x:c r="E43" s="68" t="n">
        <x:v>69</x:v>
      </x:c>
      <x:c r="F43" s="68" t="n">
        <x:v>22</x:v>
      </x:c>
      <x:c r="G43" s="68" t="n">
        <x:v>91</x:v>
      </x:c>
      <x:c r="H43" s="68" t="n">
        <x:f>E43-D43</x:f>
        <x:v>41</x:v>
      </x:c>
      <x:c r="I43" s="68" t="n">
        <x:f>ABS(H43)</x:f>
        <x:v>41</x:v>
      </x:c>
      <x:c r="J43" s="70" t="n">
        <x:f>IF(D43=0,"",100*I43/D43)</x:f>
        <x:v>146.42857142857142</x:v>
      </x:c>
      <x:c r="K43" s="72" t="n">
        <x:v>754.88334</x:v>
      </x:c>
      <x:c r="L43" s="72" t="n">
        <x:v>1053.594672</x:v>
      </x:c>
      <x:c r="M43" s="72" t="n">
        <x:f>L43-K43</x:f>
        <x:v>298.71133199999997</x:v>
      </x:c>
      <x:c r="N43" s="72" t="n">
        <x:f>ABS(M43)</x:f>
        <x:v>298.71133199999997</x:v>
      </x:c>
      <x:c r="O43" s="68" t="n">
        <x:f>G43-D43</x:f>
        <x:v>63</x:v>
      </x:c>
    </x:row>
    <x:row r="44" ht="22" customHeight="1">
      <x:c r="A44" s="68" t="str">
        <x:v>DOWN</x:v>
      </x:c>
      <x:c r="B44" s="68" t="str">
        <x:v>2026-02-15</x:v>
      </x:c>
      <x:c r="C44" s="68" t="str">
        <x:v>칠곡휴게소</x:v>
      </x:c>
      <x:c r="D44" s="68" t="n">
        <x:v>158</x:v>
      </x:c>
      <x:c r="E44" s="68" t="n">
        <x:v>19</x:v>
      </x:c>
      <x:c r="F44" s="68" t="n">
        <x:v>254</x:v>
      </x:c>
      <x:c r="G44" s="68" t="n">
        <x:v>273</x:v>
      </x:c>
      <x:c r="H44" s="68" t="n">
        <x:f>E44-D44</x:f>
        <x:v>-139</x:v>
      </x:c>
      <x:c r="I44" s="68" t="n">
        <x:f>ABS(H44)</x:f>
        <x:v>139</x:v>
      </x:c>
      <x:c r="J44" s="70" t="n">
        <x:f>IF(D44=0,"",100*I44/D44)</x:f>
        <x:v>87.9746835443038</x:v>
      </x:c>
      <x:c r="K44" s="72" t="n">
        <x:v>4662.68333</x:v>
      </x:c>
      <x:c r="L44" s="72" t="n">
        <x:v>338.05687</x:v>
      </x:c>
      <x:c r="M44" s="72" t="n">
        <x:f>L44-K44</x:f>
        <x:v>-4324.6264599999995</x:v>
      </x:c>
      <x:c r="N44" s="72" t="n">
        <x:f>ABS(M44)</x:f>
        <x:v>4324.6264599999995</x:v>
      </x:c>
      <x:c r="O44" s="68" t="n">
        <x:f>G44-D44</x:f>
        <x:v>115</x:v>
      </x:c>
    </x:row>
    <x:row r="45" ht="22" customHeight="1">
      <x:c r="A45" s="68" t="str">
        <x:v>DOWN</x:v>
      </x:c>
      <x:c r="B45" s="68" t="str">
        <x:v>2026-02-15</x:v>
      </x:c>
      <x:c r="C45" s="68" t="str">
        <x:v>통도사휴게소</x:v>
      </x:c>
      <x:c r="D45" s="68" t="n">
        <x:v>25</x:v>
      </x:c>
      <x:c r="E45" s="68" t="n">
        <x:v>0</x:v>
      </x:c>
      <x:c r="F45" s="68" t="n">
        <x:v>3</x:v>
      </x:c>
      <x:c r="G45" s="68" t="n">
        <x:v>3</x:v>
      </x:c>
      <x:c r="H45" s="68" t="n">
        <x:f>E45-D45</x:f>
        <x:v>-25</x:v>
      </x:c>
      <x:c r="I45" s="68" t="n">
        <x:f>ABS(H45)</x:f>
        <x:v>25</x:v>
      </x:c>
      <x:c r="J45" s="70" t="n">
        <x:f>IF(D45=0,"",100*I45/D45)</x:f>
        <x:v>100</x:v>
      </x:c>
      <x:c r="K45" s="72" t="n">
        <x:v>634.99999</x:v>
      </x:c>
      <x:c r="L45" s="72" t="n">
        <x:v>0</x:v>
      </x:c>
      <x:c r="M45" s="72" t="n">
        <x:f>L45-K45</x:f>
        <x:v>-634.99999</x:v>
      </x:c>
      <x:c r="N45" s="72" t="n">
        <x:f>ABS(M45)</x:f>
        <x:v>634.99999</x:v>
      </x:c>
      <x:c r="O45" s="68" t="n">
        <x:f>G45-D45</x:f>
        <x:v>-22</x:v>
      </x:c>
    </x:row>
    <x:row r="46" ht="22" customHeight="1">
      <x:c r="A46" s="68" t="str">
        <x:v>DOWN</x:v>
      </x:c>
      <x:c r="B46" s="68" t="str">
        <x:v>2026-02-15</x:v>
      </x:c>
      <x:c r="C46" s="68" t="str">
        <x:v>평사휴게소</x:v>
      </x:c>
      <x:c r="D46" s="68" t="n">
        <x:v>52</x:v>
      </x:c>
      <x:c r="E46" s="68" t="n">
        <x:v>154</x:v>
      </x:c>
      <x:c r="F46" s="68" t="n">
        <x:v>0</x:v>
      </x:c>
      <x:c r="G46" s="68" t="n">
        <x:v>154</x:v>
      </x:c>
      <x:c r="H46" s="68" t="n">
        <x:f>E46-D46</x:f>
        <x:v>102</x:v>
      </x:c>
      <x:c r="I46" s="68" t="n">
        <x:f>ABS(H46)</x:f>
        <x:v>102</x:v>
      </x:c>
      <x:c r="J46" s="70" t="n">
        <x:f>IF(D46=0,"",100*I46/D46)</x:f>
        <x:v>196.15384615384616</x:v>
      </x:c>
      <x:c r="K46" s="72" t="n">
        <x:v>1348.06667</x:v>
      </x:c>
      <x:c r="L46" s="72" t="n">
        <x:v>1696.736494</x:v>
      </x:c>
      <x:c r="M46" s="72" t="n">
        <x:f>L46-K46</x:f>
        <x:v>348.66982400000006</x:v>
      </x:c>
      <x:c r="N46" s="72" t="n">
        <x:f>ABS(M46)</x:f>
        <x:v>348.66982400000006</x:v>
      </x:c>
      <x:c r="O46" s="68" t="n">
        <x:f>G46-D46</x:f>
        <x:v>102</x:v>
      </x:c>
    </x:row>
    <x:row r="47" ht="22" customHeight="1">
      <x:c r="A47" s="68" t="str">
        <x:v>DOWN</x:v>
      </x:c>
      <x:c r="B47" s="68" t="str">
        <x:v>2026-02-16</x:v>
      </x:c>
      <x:c r="C47" s="68" t="str">
        <x:v>건천휴게소</x:v>
      </x:c>
      <x:c r="D47" s="68" t="n">
        <x:v>97</x:v>
      </x:c>
      <x:c r="E47" s="68" t="n">
        <x:v>75</x:v>
      </x:c>
      <x:c r="F47" s="68" t="n">
        <x:v>0</x:v>
      </x:c>
      <x:c r="G47" s="68" t="n">
        <x:v>75</x:v>
      </x:c>
      <x:c r="H47" s="68" t="n">
        <x:f>E47-D47</x:f>
        <x:v>-22</x:v>
      </x:c>
      <x:c r="I47" s="68" t="n">
        <x:f>ABS(H47)</x:f>
        <x:v>22</x:v>
      </x:c>
      <x:c r="J47" s="70" t="n">
        <x:f>IF(D47=0,"",100*I47/D47)</x:f>
        <x:v>22.68041237113402</x:v>
      </x:c>
      <x:c r="K47" s="72" t="n">
        <x:v>2724.91668</x:v>
      </x:c>
      <x:c r="L47" s="72" t="n">
        <x:v>865.384721</x:v>
      </x:c>
      <x:c r="M47" s="72" t="n">
        <x:f>L47-K47</x:f>
        <x:v>-1859.531959</x:v>
      </x:c>
      <x:c r="N47" s="72" t="n">
        <x:f>ABS(M47)</x:f>
        <x:v>1859.531959</x:v>
      </x:c>
      <x:c r="O47" s="68" t="n">
        <x:f>G47-D47</x:f>
        <x:v>-22</x:v>
      </x:c>
    </x:row>
    <x:row r="48" ht="22" customHeight="1">
      <x:c r="A48" s="68" t="str">
        <x:v>DOWN</x:v>
      </x:c>
      <x:c r="B48" s="68" t="str">
        <x:v>2026-02-16</x:v>
      </x:c>
      <x:c r="C48" s="68" t="str">
        <x:v>금강휴게소</x:v>
      </x:c>
      <x:c r="D48" s="68" t="n">
        <x:v>27</x:v>
      </x:c>
      <x:c r="E48" s="68" t="n">
        <x:v>3</x:v>
      </x:c>
      <x:c r="F48" s="68" t="n">
        <x:v>0</x:v>
      </x:c>
      <x:c r="G48" s="68" t="n">
        <x:v>3</x:v>
      </x:c>
      <x:c r="H48" s="68" t="n">
        <x:f>E48-D48</x:f>
        <x:v>-24</x:v>
      </x:c>
      <x:c r="I48" s="68" t="n">
        <x:f>ABS(H48)</x:f>
        <x:v>24</x:v>
      </x:c>
      <x:c r="J48" s="70" t="n">
        <x:f>IF(D48=0,"",100*I48/D48)</x:f>
        <x:v>88.88888888888889</x:v>
      </x:c>
      <x:c r="K48" s="72" t="n">
        <x:v>816.08333</x:v>
      </x:c>
      <x:c r="L48" s="72" t="n">
        <x:v>165.275281</x:v>
      </x:c>
      <x:c r="M48" s="72" t="n">
        <x:f>L48-K48</x:f>
        <x:v>-650.808049</x:v>
      </x:c>
      <x:c r="N48" s="72" t="n">
        <x:f>ABS(M48)</x:f>
        <x:v>650.808049</x:v>
      </x:c>
      <x:c r="O48" s="68" t="n">
        <x:f>G48-D48</x:f>
        <x:v>-24</x:v>
      </x:c>
    </x:row>
    <x:row r="49" ht="22" customHeight="1">
      <x:c r="A49" s="68" t="str">
        <x:v>DOWN</x:v>
      </x:c>
      <x:c r="B49" s="68" t="str">
        <x:v>2026-02-16</x:v>
      </x:c>
      <x:c r="C49" s="68" t="str">
        <x:v>기흥휴게소</x:v>
      </x:c>
      <x:c r="D49" s="68" t="n">
        <x:v>5</x:v>
      </x:c>
      <x:c r="E49" s="68" t="n">
        <x:v>0</x:v>
      </x:c>
      <x:c r="F49" s="68" t="n">
        <x:v>149</x:v>
      </x:c>
      <x:c r="G49" s="68" t="n">
        <x:v>149</x:v>
      </x:c>
      <x:c r="H49" s="68" t="n">
        <x:f>E49-D49</x:f>
        <x:v>-5</x:v>
      </x:c>
      <x:c r="I49" s="68" t="n">
        <x:f>ABS(H49)</x:f>
        <x:v>5</x:v>
      </x:c>
      <x:c r="J49" s="70" t="n">
        <x:f>IF(D49=0,"",100*I49/D49)</x:f>
        <x:v>100</x:v>
      </x:c>
      <x:c r="K49" s="72" t="n">
        <x:v>146.24999</x:v>
      </x:c>
      <x:c r="L49" s="72" t="n">
        <x:v>0</x:v>
      </x:c>
      <x:c r="M49" s="72" t="n">
        <x:f>L49-K49</x:f>
        <x:v>-146.24999</x:v>
      </x:c>
      <x:c r="N49" s="72" t="n">
        <x:f>ABS(M49)</x:f>
        <x:v>146.24999</x:v>
      </x:c>
      <x:c r="O49" s="68" t="n">
        <x:f>G49-D49</x:f>
        <x:v>144</x:v>
      </x:c>
    </x:row>
    <x:row r="50" ht="22" customHeight="1">
      <x:c r="A50" s="68" t="str">
        <x:v>DOWN</x:v>
      </x:c>
      <x:c r="B50" s="68" t="str">
        <x:v>2026-02-16</x:v>
      </x:c>
      <x:c r="C50" s="68" t="str">
        <x:v>김천휴게소</x:v>
      </x:c>
      <x:c r="D50" s="68" t="n">
        <x:v>47</x:v>
      </x:c>
      <x:c r="E50" s="68" t="n">
        <x:v>37</x:v>
      </x:c>
      <x:c r="F50" s="68" t="n">
        <x:v>0</x:v>
      </x:c>
      <x:c r="G50" s="68" t="n">
        <x:v>37</x:v>
      </x:c>
      <x:c r="H50" s="68" t="n">
        <x:f>E50-D50</x:f>
        <x:v>-10</x:v>
      </x:c>
      <x:c r="I50" s="68" t="n">
        <x:f>ABS(H50)</x:f>
        <x:v>10</x:v>
      </x:c>
      <x:c r="J50" s="70" t="n">
        <x:f>IF(D50=0,"",100*I50/D50)</x:f>
        <x:v>21.27659574468085</x:v>
      </x:c>
      <x:c r="K50" s="72" t="n">
        <x:v>1295.79999</x:v>
      </x:c>
      <x:c r="L50" s="72" t="n">
        <x:v>868.062838</x:v>
      </x:c>
      <x:c r="M50" s="72" t="n">
        <x:f>L50-K50</x:f>
        <x:v>-427.7371519999999</x:v>
      </x:c>
      <x:c r="N50" s="72" t="n">
        <x:f>ABS(M50)</x:f>
        <x:v>427.7371519999999</x:v>
      </x:c>
      <x:c r="O50" s="68" t="n">
        <x:f>G50-D50</x:f>
        <x:v>-10</x:v>
      </x:c>
    </x:row>
    <x:row r="51" ht="22" customHeight="1">
      <x:c r="A51" s="68" t="str">
        <x:v>DOWN</x:v>
      </x:c>
      <x:c r="B51" s="68" t="str">
        <x:v>2026-02-16</x:v>
      </x:c>
      <x:c r="C51" s="68" t="str">
        <x:v>서울만남휴게소</x:v>
      </x:c>
      <x:c r="D51" s="68" t="n">
        <x:v>4</x:v>
      </x:c>
      <x:c r="E51" s="68" t="n">
        <x:v>1</x:v>
      </x:c>
      <x:c r="F51" s="68" t="n">
        <x:v>224</x:v>
      </x:c>
      <x:c r="G51" s="68" t="n">
        <x:v>225</x:v>
      </x:c>
      <x:c r="H51" s="68" t="n">
        <x:f>E51-D51</x:f>
        <x:v>-3</x:v>
      </x:c>
      <x:c r="I51" s="68" t="n">
        <x:f>ABS(H51)</x:f>
        <x:v>3</x:v>
      </x:c>
      <x:c r="J51" s="70" t="n">
        <x:f>IF(D51=0,"",100*I51/D51)</x:f>
        <x:v>75</x:v>
      </x:c>
      <x:c r="K51" s="72" t="n">
        <x:v>110.71668</x:v>
      </x:c>
      <x:c r="L51" s="72" t="n">
        <x:v>1.154001</x:v>
      </x:c>
      <x:c r="M51" s="72" t="n">
        <x:f>L51-K51</x:f>
        <x:v>-109.562679</x:v>
      </x:c>
      <x:c r="N51" s="72" t="n">
        <x:f>ABS(M51)</x:f>
        <x:v>109.562679</x:v>
      </x:c>
      <x:c r="O51" s="68" t="n">
        <x:f>G51-D51</x:f>
        <x:v>221</x:v>
      </x:c>
    </x:row>
    <x:row r="52" ht="22" customHeight="1">
      <x:c r="A52" s="68" t="str">
        <x:v>DOWN</x:v>
      </x:c>
      <x:c r="B52" s="68" t="str">
        <x:v>2026-02-16</x:v>
      </x:c>
      <x:c r="C52" s="68" t="str">
        <x:v>서울하이패스센터쉼터</x:v>
      </x:c>
      <x:c r="D52" s="68" t="n">
        <x:v>14</x:v>
      </x:c>
      <x:c r="E52" s="68" t="n">
        <x:v>1</x:v>
      </x:c>
      <x:c r="F52" s="68" t="n">
        <x:v>0</x:v>
      </x:c>
      <x:c r="G52" s="68" t="n">
        <x:v>1</x:v>
      </x:c>
      <x:c r="H52" s="68" t="n">
        <x:f>E52-D52</x:f>
        <x:v>-13</x:v>
      </x:c>
      <x:c r="I52" s="68" t="n">
        <x:f>ABS(H52)</x:f>
        <x:v>13</x:v>
      </x:c>
      <x:c r="J52" s="70" t="n">
        <x:f>IF(D52=0,"",100*I52/D52)</x:f>
        <x:v>92.85714285714286</x:v>
      </x:c>
      <x:c r="K52" s="72" t="n">
        <x:v>429.36667</x:v>
      </x:c>
      <x:c r="L52" s="72" t="n">
        <x:v>6.421621</x:v>
      </x:c>
      <x:c r="M52" s="72" t="n">
        <x:f>L52-K52</x:f>
        <x:v>-422.945049</x:v>
      </x:c>
      <x:c r="N52" s="72" t="n">
        <x:f>ABS(M52)</x:f>
        <x:v>422.945049</x:v>
      </x:c>
      <x:c r="O52" s="68" t="n">
        <x:f>G52-D52</x:f>
        <x:v>-13</x:v>
      </x:c>
    </x:row>
    <x:row r="53" ht="22" customHeight="1">
      <x:c r="A53" s="68" t="str">
        <x:v>DOWN</x:v>
      </x:c>
      <x:c r="B53" s="68" t="str">
        <x:v>2026-02-16</x:v>
      </x:c>
      <x:c r="C53" s="68" t="str">
        <x:v>안성휴게소</x:v>
      </x:c>
      <x:c r="D53" s="68" t="n">
        <x:v>29</x:v>
      </x:c>
      <x:c r="E53" s="68" t="n">
        <x:v>2</x:v>
      </x:c>
      <x:c r="F53" s="68" t="n">
        <x:v>170</x:v>
      </x:c>
      <x:c r="G53" s="68" t="n">
        <x:v>172</x:v>
      </x:c>
      <x:c r="H53" s="68" t="n">
        <x:f>E53-D53</x:f>
        <x:v>-27</x:v>
      </x:c>
      <x:c r="I53" s="68" t="n">
        <x:f>ABS(H53)</x:f>
        <x:v>27</x:v>
      </x:c>
      <x:c r="J53" s="70" t="n">
        <x:f>IF(D53=0,"",100*I53/D53)</x:f>
        <x:v>93.10344827586206</x:v>
      </x:c>
      <x:c r="K53" s="72" t="n">
        <x:v>806.41666</x:v>
      </x:c>
      <x:c r="L53" s="72" t="n">
        <x:v>16.631107</x:v>
      </x:c>
      <x:c r="M53" s="72" t="n">
        <x:f>L53-K53</x:f>
        <x:v>-789.7855529999999</x:v>
      </x:c>
      <x:c r="N53" s="72" t="n">
        <x:f>ABS(M53)</x:f>
        <x:v>789.7855529999999</x:v>
      </x:c>
      <x:c r="O53" s="68" t="n">
        <x:f>G53-D53</x:f>
        <x:v>143</x:v>
      </x:c>
    </x:row>
    <x:row r="54" ht="22" customHeight="1">
      <x:c r="A54" s="68" t="str">
        <x:v>DOWN</x:v>
      </x:c>
      <x:c r="B54" s="68" t="str">
        <x:v>2026-02-16</x:v>
      </x:c>
      <x:c r="C54" s="68" t="str">
        <x:v>옥산휴게소</x:v>
      </x:c>
      <x:c r="D54" s="68" t="n">
        <x:v>32</x:v>
      </x:c>
      <x:c r="E54" s="68" t="n">
        <x:v>60</x:v>
      </x:c>
      <x:c r="F54" s="68" t="n">
        <x:v>12</x:v>
      </x:c>
      <x:c r="G54" s="68" t="n">
        <x:v>72</x:v>
      </x:c>
      <x:c r="H54" s="68" t="n">
        <x:f>E54-D54</x:f>
        <x:v>28</x:v>
      </x:c>
      <x:c r="I54" s="68" t="n">
        <x:f>ABS(H54)</x:f>
        <x:v>28</x:v>
      </x:c>
      <x:c r="J54" s="70" t="n">
        <x:f>IF(D54=0,"",100*I54/D54)</x:f>
        <x:v>87.5</x:v>
      </x:c>
      <x:c r="K54" s="72" t="n">
        <x:v>1324.84998</x:v>
      </x:c>
      <x:c r="L54" s="72" t="n">
        <x:v>858.936838</x:v>
      </x:c>
      <x:c r="M54" s="72" t="n">
        <x:f>L54-K54</x:f>
        <x:v>-465.913142</x:v>
      </x:c>
      <x:c r="N54" s="72" t="n">
        <x:f>ABS(M54)</x:f>
        <x:v>465.913142</x:v>
      </x:c>
      <x:c r="O54" s="68" t="n">
        <x:f>G54-D54</x:f>
        <x:v>40</x:v>
      </x:c>
    </x:row>
    <x:row r="55" ht="22" customHeight="1">
      <x:c r="A55" s="68" t="str">
        <x:v>DOWN</x:v>
      </x:c>
      <x:c r="B55" s="68" t="str">
        <x:v>2026-02-16</x:v>
      </x:c>
      <x:c r="C55" s="68" t="str">
        <x:v>옥천만남휴게소</x:v>
      </x:c>
      <x:c r="D55" s="68" t="n">
        <x:v>0</x:v>
      </x:c>
      <x:c r="E55" s="68" t="n">
        <x:v>0</x:v>
      </x:c>
      <x:c r="F55" s="68" t="n">
        <x:v>0</x:v>
      </x:c>
      <x:c r="G55" s="68" t="n">
        <x:v>0</x:v>
      </x:c>
      <x:c r="H55" s="68" t="n">
        <x:f>E55-D55</x:f>
        <x:v>0</x:v>
      </x:c>
      <x:c r="I55" s="68" t="n">
        <x:f>ABS(H55)</x:f>
        <x:v>0</x:v>
      </x:c>
      <x:c r="J55" s="70" t="str">
        <x:f>IF(D55=0,"",100*I55/D55)</x:f>
      </x:c>
      <x:c r="K55" s="72" t="n">
        <x:v>0</x:v>
      </x:c>
      <x:c r="L55" s="72" t="n">
        <x:v>0</x:v>
      </x:c>
      <x:c r="M55" s="72" t="n">
        <x:f>L55-K55</x:f>
        <x:v>0</x:v>
      </x:c>
      <x:c r="N55" s="72" t="n">
        <x:f>ABS(M55)</x:f>
        <x:v>0</x:v>
      </x:c>
      <x:c r="O55" s="68" t="n">
        <x:f>G55-D55</x:f>
        <x:v>0</x:v>
      </x:c>
    </x:row>
    <x:row r="56" ht="22" customHeight="1">
      <x:c r="A56" s="68" t="str">
        <x:v>DOWN</x:v>
      </x:c>
      <x:c r="B56" s="68" t="str">
        <x:v>2026-02-16</x:v>
      </x:c>
      <x:c r="C56" s="68" t="str">
        <x:v>옥천휴게소</x:v>
      </x:c>
      <x:c r="D56" s="68" t="n">
        <x:v>10</x:v>
      </x:c>
      <x:c r="E56" s="68" t="n">
        <x:v>0</x:v>
      </x:c>
      <x:c r="F56" s="68" t="n">
        <x:v>194</x:v>
      </x:c>
      <x:c r="G56" s="68" t="n">
        <x:v>194</x:v>
      </x:c>
      <x:c r="H56" s="68" t="n">
        <x:f>E56-D56</x:f>
        <x:v>-10</x:v>
      </x:c>
      <x:c r="I56" s="68" t="n">
        <x:f>ABS(H56)</x:f>
        <x:v>10</x:v>
      </x:c>
      <x:c r="J56" s="70" t="n">
        <x:f>IF(D56=0,"",100*I56/D56)</x:f>
        <x:v>100</x:v>
      </x:c>
      <x:c r="K56" s="72" t="n">
        <x:v>248.86666</x:v>
      </x:c>
      <x:c r="L56" s="72" t="n">
        <x:v>0</x:v>
      </x:c>
      <x:c r="M56" s="72" t="n">
        <x:f>L56-K56</x:f>
        <x:v>-248.86666</x:v>
      </x:c>
      <x:c r="N56" s="72" t="n">
        <x:f>ABS(M56)</x:f>
        <x:v>248.86666</x:v>
      </x:c>
      <x:c r="O56" s="68" t="n">
        <x:f>G56-D56</x:f>
        <x:v>184</x:v>
      </x:c>
    </x:row>
    <x:row r="57" ht="22" customHeight="1">
      <x:c r="A57" s="68" t="str">
        <x:v>DOWN</x:v>
      </x:c>
      <x:c r="B57" s="68" t="str">
        <x:v>2026-02-16</x:v>
      </x:c>
      <x:c r="C57" s="68" t="str">
        <x:v>천안호두휴게소</x:v>
      </x:c>
      <x:c r="D57" s="68" t="n">
        <x:v>49</x:v>
      </x:c>
      <x:c r="E57" s="68" t="n">
        <x:v>0</x:v>
      </x:c>
      <x:c r="F57" s="68" t="n">
        <x:v>38</x:v>
      </x:c>
      <x:c r="G57" s="68" t="n">
        <x:v>38</x:v>
      </x:c>
      <x:c r="H57" s="68" t="n">
        <x:f>E57-D57</x:f>
        <x:v>-49</x:v>
      </x:c>
      <x:c r="I57" s="68" t="n">
        <x:f>ABS(H57)</x:f>
        <x:v>49</x:v>
      </x:c>
      <x:c r="J57" s="70" t="n">
        <x:f>IF(D57=0,"",100*I57/D57)</x:f>
        <x:v>100</x:v>
      </x:c>
      <x:c r="K57" s="72" t="n">
        <x:v>1210.63334</x:v>
      </x:c>
      <x:c r="L57" s="72" t="n">
        <x:v>0</x:v>
      </x:c>
      <x:c r="M57" s="72" t="n">
        <x:f>L57-K57</x:f>
        <x:v>-1210.63334</x:v>
      </x:c>
      <x:c r="N57" s="72" t="n">
        <x:f>ABS(M57)</x:f>
        <x:v>1210.63334</x:v>
      </x:c>
      <x:c r="O57" s="68" t="n">
        <x:f>G57-D57</x:f>
        <x:v>-11</x:v>
      </x:c>
    </x:row>
    <x:row r="58" ht="22" customHeight="1">
      <x:c r="A58" s="68" t="str">
        <x:v>DOWN</x:v>
      </x:c>
      <x:c r="B58" s="68" t="str">
        <x:v>2026-02-16</x:v>
      </x:c>
      <x:c r="C58" s="68" t="str">
        <x:v>추풍령휴게소</x:v>
      </x:c>
      <x:c r="D58" s="68" t="n">
        <x:v>21</x:v>
      </x:c>
      <x:c r="E58" s="68" t="n">
        <x:v>72</x:v>
      </x:c>
      <x:c r="F58" s="68" t="n">
        <x:v>29</x:v>
      </x:c>
      <x:c r="G58" s="68" t="n">
        <x:v>101</x:v>
      </x:c>
      <x:c r="H58" s="68" t="n">
        <x:f>E58-D58</x:f>
        <x:v>51</x:v>
      </x:c>
      <x:c r="I58" s="68" t="n">
        <x:f>ABS(H58)</x:f>
        <x:v>51</x:v>
      </x:c>
      <x:c r="J58" s="70" t="n">
        <x:f>IF(D58=0,"",100*I58/D58)</x:f>
        <x:v>242.85714285714286</x:v>
      </x:c>
      <x:c r="K58" s="72" t="n">
        <x:v>557.31666</x:v>
      </x:c>
      <x:c r="L58" s="72" t="n">
        <x:v>1292.295978</x:v>
      </x:c>
      <x:c r="M58" s="72" t="n">
        <x:f>L58-K58</x:f>
        <x:v>734.9793180000001</x:v>
      </x:c>
      <x:c r="N58" s="72" t="n">
        <x:f>ABS(M58)</x:f>
        <x:v>734.9793180000001</x:v>
      </x:c>
      <x:c r="O58" s="68" t="n">
        <x:f>G58-D58</x:f>
        <x:v>80</x:v>
      </x:c>
    </x:row>
    <x:row r="59" ht="22" customHeight="1">
      <x:c r="A59" s="68" t="str">
        <x:v>DOWN</x:v>
      </x:c>
      <x:c r="B59" s="68" t="str">
        <x:v>2026-02-16</x:v>
      </x:c>
      <x:c r="C59" s="68" t="str">
        <x:v>칠곡휴게소</x:v>
      </x:c>
      <x:c r="D59" s="68" t="n">
        <x:v>153</x:v>
      </x:c>
      <x:c r="E59" s="68" t="n">
        <x:v>15</x:v>
      </x:c>
      <x:c r="F59" s="68" t="n">
        <x:v>233</x:v>
      </x:c>
      <x:c r="G59" s="68" t="n">
        <x:v>248</x:v>
      </x:c>
      <x:c r="H59" s="68" t="n">
        <x:f>E59-D59</x:f>
        <x:v>-138</x:v>
      </x:c>
      <x:c r="I59" s="68" t="n">
        <x:f>ABS(H59)</x:f>
        <x:v>138</x:v>
      </x:c>
      <x:c r="J59" s="70" t="n">
        <x:f>IF(D59=0,"",100*I59/D59)</x:f>
        <x:v>90.19607843137256</x:v>
      </x:c>
      <x:c r="K59" s="72" t="n">
        <x:v>4540.95001</x:v>
      </x:c>
      <x:c r="L59" s="72" t="n">
        <x:v>281.541277</x:v>
      </x:c>
      <x:c r="M59" s="72" t="n">
        <x:f>L59-K59</x:f>
        <x:v>-4259.408732999999</x:v>
      </x:c>
      <x:c r="N59" s="72" t="n">
        <x:f>ABS(M59)</x:f>
        <x:v>4259.408732999999</x:v>
      </x:c>
      <x:c r="O59" s="68" t="n">
        <x:f>G59-D59</x:f>
        <x:v>95</x:v>
      </x:c>
    </x:row>
    <x:row r="60" ht="22" customHeight="1">
      <x:c r="A60" s="68" t="str">
        <x:v>DOWN</x:v>
      </x:c>
      <x:c r="B60" s="68" t="str">
        <x:v>2026-02-16</x:v>
      </x:c>
      <x:c r="C60" s="68" t="str">
        <x:v>통도사휴게소</x:v>
      </x:c>
      <x:c r="D60" s="68" t="n">
        <x:v>21</x:v>
      </x:c>
      <x:c r="E60" s="68" t="n">
        <x:v>0</x:v>
      </x:c>
      <x:c r="F60" s="68" t="n">
        <x:v>8</x:v>
      </x:c>
      <x:c r="G60" s="68" t="n">
        <x:v>8</x:v>
      </x:c>
      <x:c r="H60" s="68" t="n">
        <x:f>E60-D60</x:f>
        <x:v>-21</x:v>
      </x:c>
      <x:c r="I60" s="68" t="n">
        <x:f>ABS(H60)</x:f>
        <x:v>21</x:v>
      </x:c>
      <x:c r="J60" s="70" t="n">
        <x:f>IF(D60=0,"",100*I60/D60)</x:f>
        <x:v>100</x:v>
      </x:c>
      <x:c r="K60" s="72" t="n">
        <x:v>551.95</x:v>
      </x:c>
      <x:c r="L60" s="72" t="n">
        <x:v>0</x:v>
      </x:c>
      <x:c r="M60" s="72" t="n">
        <x:f>L60-K60</x:f>
        <x:v>-551.95</x:v>
      </x:c>
      <x:c r="N60" s="72" t="n">
        <x:f>ABS(M60)</x:f>
        <x:v>551.95</x:v>
      </x:c>
      <x:c r="O60" s="68" t="n">
        <x:f>G60-D60</x:f>
        <x:v>-13</x:v>
      </x:c>
    </x:row>
    <x:row r="61" ht="22" customHeight="1">
      <x:c r="A61" s="68" t="str">
        <x:v>DOWN</x:v>
      </x:c>
      <x:c r="B61" s="68" t="str">
        <x:v>2026-02-16</x:v>
      </x:c>
      <x:c r="C61" s="68" t="str">
        <x:v>평사휴게소</x:v>
      </x:c>
      <x:c r="D61" s="68" t="n">
        <x:v>42</x:v>
      </x:c>
      <x:c r="E61" s="68" t="n">
        <x:v>165</x:v>
      </x:c>
      <x:c r="F61" s="68" t="n">
        <x:v>0</x:v>
      </x:c>
      <x:c r="G61" s="68" t="n">
        <x:v>165</x:v>
      </x:c>
      <x:c r="H61" s="68" t="n">
        <x:f>E61-D61</x:f>
        <x:v>123</x:v>
      </x:c>
      <x:c r="I61" s="68" t="n">
        <x:f>ABS(H61)</x:f>
        <x:v>123</x:v>
      </x:c>
      <x:c r="J61" s="70" t="n">
        <x:f>IF(D61=0,"",100*I61/D61)</x:f>
        <x:v>292.85714285714283</x:v>
      </x:c>
      <x:c r="K61" s="72" t="n">
        <x:v>1163.05002</x:v>
      </x:c>
      <x:c r="L61" s="72" t="n">
        <x:v>1955.973048</x:v>
      </x:c>
      <x:c r="M61" s="72" t="n">
        <x:f>L61-K61</x:f>
        <x:v>792.9230280000002</x:v>
      </x:c>
      <x:c r="N61" s="72" t="n">
        <x:f>ABS(M61)</x:f>
        <x:v>792.9230280000002</x:v>
      </x:c>
      <x:c r="O61" s="68" t="n">
        <x:f>G61-D61</x:f>
        <x:v>123</x:v>
      </x:c>
    </x:row>
    <x:row r="62" ht="22" customHeight="1">
      <x:c r="A62" s="68" t="str">
        <x:v>DOWN</x:v>
      </x:c>
      <x:c r="B62" s="68" t="str">
        <x:v>2026-02-17</x:v>
      </x:c>
      <x:c r="C62" s="68" t="str">
        <x:v>건천휴게소</x:v>
      </x:c>
      <x:c r="D62" s="68" t="n">
        <x:v>77</x:v>
      </x:c>
      <x:c r="E62" s="68" t="n">
        <x:v>86</x:v>
      </x:c>
      <x:c r="F62" s="68" t="n">
        <x:v>0</x:v>
      </x:c>
      <x:c r="G62" s="68" t="n">
        <x:v>86</x:v>
      </x:c>
      <x:c r="H62" s="68" t="n">
        <x:f>E62-D62</x:f>
        <x:v>9</x:v>
      </x:c>
      <x:c r="I62" s="68" t="n">
        <x:f>ABS(H62)</x:f>
        <x:v>9</x:v>
      </x:c>
      <x:c r="J62" s="70" t="n">
        <x:f>IF(D62=0,"",100*I62/D62)</x:f>
        <x:v>11.688311688311689</x:v>
      </x:c>
      <x:c r="K62" s="72" t="n">
        <x:v>1981.86665</x:v>
      </x:c>
      <x:c r="L62" s="72" t="n">
        <x:v>965.013083</x:v>
      </x:c>
      <x:c r="M62" s="72" t="n">
        <x:f>L62-K62</x:f>
        <x:v>-1016.8535669999999</x:v>
      </x:c>
      <x:c r="N62" s="72" t="n">
        <x:f>ABS(M62)</x:f>
        <x:v>1016.8535669999999</x:v>
      </x:c>
      <x:c r="O62" s="68" t="n">
        <x:f>G62-D62</x:f>
        <x:v>9</x:v>
      </x:c>
    </x:row>
    <x:row r="63" ht="22" customHeight="1">
      <x:c r="A63" s="68" t="str">
        <x:v>DOWN</x:v>
      </x:c>
      <x:c r="B63" s="68" t="str">
        <x:v>2026-02-17</x:v>
      </x:c>
      <x:c r="C63" s="68" t="str">
        <x:v>금강휴게소</x:v>
      </x:c>
      <x:c r="D63" s="68" t="n">
        <x:v>31</x:v>
      </x:c>
      <x:c r="E63" s="68" t="n">
        <x:v>1</x:v>
      </x:c>
      <x:c r="F63" s="68" t="n">
        <x:v>0</x:v>
      </x:c>
      <x:c r="G63" s="68" t="n">
        <x:v>1</x:v>
      </x:c>
      <x:c r="H63" s="68" t="n">
        <x:f>E63-D63</x:f>
        <x:v>-30</x:v>
      </x:c>
      <x:c r="I63" s="68" t="n">
        <x:f>ABS(H63)</x:f>
        <x:v>30</x:v>
      </x:c>
      <x:c r="J63" s="70" t="n">
        <x:f>IF(D63=0,"",100*I63/D63)</x:f>
        <x:v>96.7741935483871</x:v>
      </x:c>
      <x:c r="K63" s="72" t="n">
        <x:v>772.05001</x:v>
      </x:c>
      <x:c r="L63" s="72" t="n">
        <x:v>119.395349</x:v>
      </x:c>
      <x:c r="M63" s="72" t="n">
        <x:f>L63-K63</x:f>
        <x:v>-652.654661</x:v>
      </x:c>
      <x:c r="N63" s="72" t="n">
        <x:f>ABS(M63)</x:f>
        <x:v>652.654661</x:v>
      </x:c>
      <x:c r="O63" s="68" t="n">
        <x:f>G63-D63</x:f>
        <x:v>-30</x:v>
      </x:c>
    </x:row>
    <x:row r="64" ht="22" customHeight="1">
      <x:c r="A64" s="68" t="str">
        <x:v>DOWN</x:v>
      </x:c>
      <x:c r="B64" s="68" t="str">
        <x:v>2026-02-17</x:v>
      </x:c>
      <x:c r="C64" s="68" t="str">
        <x:v>기흥휴게소</x:v>
      </x:c>
      <x:c r="D64" s="68" t="n">
        <x:v>6</x:v>
      </x:c>
      <x:c r="E64" s="68" t="n">
        <x:v>0</x:v>
      </x:c>
      <x:c r="F64" s="68" t="n">
        <x:v>130</x:v>
      </x:c>
      <x:c r="G64" s="68" t="n">
        <x:v>130</x:v>
      </x:c>
      <x:c r="H64" s="68" t="n">
        <x:f>E64-D64</x:f>
        <x:v>-6</x:v>
      </x:c>
      <x:c r="I64" s="68" t="n">
        <x:f>ABS(H64)</x:f>
        <x:v>6</x:v>
      </x:c>
      <x:c r="J64" s="70" t="n">
        <x:f>IF(D64=0,"",100*I64/D64)</x:f>
        <x:v>100</x:v>
      </x:c>
      <x:c r="K64" s="72" t="n">
        <x:v>176.61667</x:v>
      </x:c>
      <x:c r="L64" s="72" t="n">
        <x:v>0</x:v>
      </x:c>
      <x:c r="M64" s="72" t="n">
        <x:f>L64-K64</x:f>
        <x:v>-176.61667</x:v>
      </x:c>
      <x:c r="N64" s="72" t="n">
        <x:f>ABS(M64)</x:f>
        <x:v>176.61667</x:v>
      </x:c>
      <x:c r="O64" s="68" t="n">
        <x:f>G64-D64</x:f>
        <x:v>124</x:v>
      </x:c>
    </x:row>
    <x:row r="65" ht="22" customHeight="1">
      <x:c r="A65" s="68" t="str">
        <x:v>DOWN</x:v>
      </x:c>
      <x:c r="B65" s="68" t="str">
        <x:v>2026-02-17</x:v>
      </x:c>
      <x:c r="C65" s="68" t="str">
        <x:v>김천휴게소</x:v>
      </x:c>
      <x:c r="D65" s="68" t="n">
        <x:v>43</x:v>
      </x:c>
      <x:c r="E65" s="68" t="n">
        <x:v>56</x:v>
      </x:c>
      <x:c r="F65" s="68" t="n">
        <x:v>0</x:v>
      </x:c>
      <x:c r="G65" s="68" t="n">
        <x:v>56</x:v>
      </x:c>
      <x:c r="H65" s="68" t="n">
        <x:f>E65-D65</x:f>
        <x:v>13</x:v>
      </x:c>
      <x:c r="I65" s="68" t="n">
        <x:f>ABS(H65)</x:f>
        <x:v>13</x:v>
      </x:c>
      <x:c r="J65" s="70" t="n">
        <x:f>IF(D65=0,"",100*I65/D65)</x:f>
        <x:v>30.232558139534884</x:v>
      </x:c>
      <x:c r="K65" s="72" t="n">
        <x:v>1080.88334</x:v>
      </x:c>
      <x:c r="L65" s="72" t="n">
        <x:v>1139.21411</x:v>
      </x:c>
      <x:c r="M65" s="72" t="n">
        <x:f>L65-K65</x:f>
        <x:v>58.3307699999998</x:v>
      </x:c>
      <x:c r="N65" s="72" t="n">
        <x:f>ABS(M65)</x:f>
        <x:v>58.3307699999998</x:v>
      </x:c>
      <x:c r="O65" s="68" t="n">
        <x:f>G65-D65</x:f>
        <x:v>13</x:v>
      </x:c>
    </x:row>
    <x:row r="66" ht="22" customHeight="1">
      <x:c r="A66" s="68" t="str">
        <x:v>DOWN</x:v>
      </x:c>
      <x:c r="B66" s="68" t="str">
        <x:v>2026-02-17</x:v>
      </x:c>
      <x:c r="C66" s="68" t="str">
        <x:v>서울만남휴게소</x:v>
      </x:c>
      <x:c r="D66" s="68" t="n">
        <x:v>7</x:v>
      </x:c>
      <x:c r="E66" s="68" t="n">
        <x:v>4</x:v>
      </x:c>
      <x:c r="F66" s="68" t="n">
        <x:v>222</x:v>
      </x:c>
      <x:c r="G66" s="68" t="n">
        <x:v>226</x:v>
      </x:c>
      <x:c r="H66" s="68" t="n">
        <x:f>E66-D66</x:f>
        <x:v>-3</x:v>
      </x:c>
      <x:c r="I66" s="68" t="n">
        <x:f>ABS(H66)</x:f>
        <x:v>3</x:v>
      </x:c>
      <x:c r="J66" s="70" t="n">
        <x:f>IF(D66=0,"",100*I66/D66)</x:f>
        <x:v>42.857142857142854</x:v>
      </x:c>
      <x:c r="K66" s="72" t="n">
        <x:v>205.41666</x:v>
      </x:c>
      <x:c r="L66" s="72" t="n">
        <x:v>2.215646</x:v>
      </x:c>
      <x:c r="M66" s="72" t="n">
        <x:f>L66-K66</x:f>
        <x:v>-203.20101400000001</x:v>
      </x:c>
      <x:c r="N66" s="72" t="n">
        <x:f>ABS(M66)</x:f>
        <x:v>203.20101400000001</x:v>
      </x:c>
      <x:c r="O66" s="68" t="n">
        <x:f>G66-D66</x:f>
        <x:v>219</x:v>
      </x:c>
    </x:row>
    <x:row r="67" ht="22" customHeight="1">
      <x:c r="A67" s="68" t="str">
        <x:v>DOWN</x:v>
      </x:c>
      <x:c r="B67" s="68" t="str">
        <x:v>2026-02-17</x:v>
      </x:c>
      <x:c r="C67" s="68" t="str">
        <x:v>서울하이패스센터쉼터</x:v>
      </x:c>
      <x:c r="D67" s="68" t="n">
        <x:v>21</x:v>
      </x:c>
      <x:c r="E67" s="68" t="n">
        <x:v>3</x:v>
      </x:c>
      <x:c r="F67" s="68" t="n">
        <x:v>0</x:v>
      </x:c>
      <x:c r="G67" s="68" t="n">
        <x:v>3</x:v>
      </x:c>
      <x:c r="H67" s="68" t="n">
        <x:f>E67-D67</x:f>
        <x:v>-18</x:v>
      </x:c>
      <x:c r="I67" s="68" t="n">
        <x:f>ABS(H67)</x:f>
        <x:v>18</x:v>
      </x:c>
      <x:c r="J67" s="70" t="n">
        <x:f>IF(D67=0,"",100*I67/D67)</x:f>
        <x:v>85.71428571428571</x:v>
      </x:c>
      <x:c r="K67" s="72" t="n">
        <x:v>470.06666</x:v>
      </x:c>
      <x:c r="L67" s="72" t="n">
        <x:v>30.513392</x:v>
      </x:c>
      <x:c r="M67" s="72" t="n">
        <x:f>L67-K67</x:f>
        <x:v>-439.553268</x:v>
      </x:c>
      <x:c r="N67" s="72" t="n">
        <x:f>ABS(M67)</x:f>
        <x:v>439.553268</x:v>
      </x:c>
      <x:c r="O67" s="68" t="n">
        <x:f>G67-D67</x:f>
        <x:v>-18</x:v>
      </x:c>
    </x:row>
    <x:row r="68" ht="22" customHeight="1">
      <x:c r="A68" s="68" t="str">
        <x:v>DOWN</x:v>
      </x:c>
      <x:c r="B68" s="68" t="str">
        <x:v>2026-02-17</x:v>
      </x:c>
      <x:c r="C68" s="68" t="str">
        <x:v>안성휴게소</x:v>
      </x:c>
      <x:c r="D68" s="68" t="n">
        <x:v>39</x:v>
      </x:c>
      <x:c r="E68" s="68" t="n">
        <x:v>6</x:v>
      </x:c>
      <x:c r="F68" s="68" t="n">
        <x:v>176</x:v>
      </x:c>
      <x:c r="G68" s="68" t="n">
        <x:v>182</x:v>
      </x:c>
      <x:c r="H68" s="68" t="n">
        <x:f>E68-D68</x:f>
        <x:v>-33</x:v>
      </x:c>
      <x:c r="I68" s="68" t="n">
        <x:f>ABS(H68)</x:f>
        <x:v>33</x:v>
      </x:c>
      <x:c r="J68" s="70" t="n">
        <x:f>IF(D68=0,"",100*I68/D68)</x:f>
        <x:v>84.61538461538461</x:v>
      </x:c>
      <x:c r="K68" s="72" t="n">
        <x:v>1185.68333</x:v>
      </x:c>
      <x:c r="L68" s="72" t="n">
        <x:v>18.690151</x:v>
      </x:c>
      <x:c r="M68" s="72" t="n">
        <x:f>L68-K68</x:f>
        <x:v>-1166.993179</x:v>
      </x:c>
      <x:c r="N68" s="72" t="n">
        <x:f>ABS(M68)</x:f>
        <x:v>1166.993179</x:v>
      </x:c>
      <x:c r="O68" s="68" t="n">
        <x:f>G68-D68</x:f>
        <x:v>143</x:v>
      </x:c>
    </x:row>
    <x:row r="69" ht="22" customHeight="1">
      <x:c r="A69" s="68" t="str">
        <x:v>DOWN</x:v>
      </x:c>
      <x:c r="B69" s="68" t="str">
        <x:v>2026-02-17</x:v>
      </x:c>
      <x:c r="C69" s="68" t="str">
        <x:v>옥산휴게소</x:v>
      </x:c>
      <x:c r="D69" s="68" t="n">
        <x:v>39</x:v>
      </x:c>
      <x:c r="E69" s="68" t="n">
        <x:v>61</x:v>
      </x:c>
      <x:c r="F69" s="68" t="n">
        <x:v>22</x:v>
      </x:c>
      <x:c r="G69" s="68" t="n">
        <x:v>83</x:v>
      </x:c>
      <x:c r="H69" s="68" t="n">
        <x:f>E69-D69</x:f>
        <x:v>22</x:v>
      </x:c>
      <x:c r="I69" s="68" t="n">
        <x:f>ABS(H69)</x:f>
        <x:v>22</x:v>
      </x:c>
      <x:c r="J69" s="70" t="n">
        <x:f>IF(D69=0,"",100*I69/D69)</x:f>
        <x:v>56.41025641025641</x:v>
      </x:c>
      <x:c r="K69" s="72" t="n">
        <x:v>1072.48334</x:v>
      </x:c>
      <x:c r="L69" s="72" t="n">
        <x:v>1032.495313</x:v>
      </x:c>
      <x:c r="M69" s="72" t="n">
        <x:f>L69-K69</x:f>
        <x:v>-39.9880270000001</x:v>
      </x:c>
      <x:c r="N69" s="72" t="n">
        <x:f>ABS(M69)</x:f>
        <x:v>39.9880270000001</x:v>
      </x:c>
      <x:c r="O69" s="68" t="n">
        <x:f>G69-D69</x:f>
        <x:v>44</x:v>
      </x:c>
    </x:row>
    <x:row r="70" ht="22" customHeight="1">
      <x:c r="A70" s="68" t="str">
        <x:v>DOWN</x:v>
      </x:c>
      <x:c r="B70" s="68" t="str">
        <x:v>2026-02-17</x:v>
      </x:c>
      <x:c r="C70" s="68" t="str">
        <x:v>옥천만남휴게소</x:v>
      </x:c>
      <x:c r="D70" s="68" t="n">
        <x:v>2</x:v>
      </x:c>
      <x:c r="E70" s="68" t="n">
        <x:v>0</x:v>
      </x:c>
      <x:c r="F70" s="68" t="n">
        <x:v>0</x:v>
      </x:c>
      <x:c r="G70" s="68" t="n">
        <x:v>0</x:v>
      </x:c>
      <x:c r="H70" s="68" t="n">
        <x:f>E70-D70</x:f>
        <x:v>-2</x:v>
      </x:c>
      <x:c r="I70" s="68" t="n">
        <x:f>ABS(H70)</x:f>
        <x:v>2</x:v>
      </x:c>
      <x:c r="J70" s="70" t="n">
        <x:f>IF(D70=0,"",100*I70/D70)</x:f>
        <x:v>100</x:v>
      </x:c>
      <x:c r="K70" s="72" t="n">
        <x:v>18.81667</x:v>
      </x:c>
      <x:c r="L70" s="72" t="n">
        <x:v>0</x:v>
      </x:c>
      <x:c r="M70" s="72" t="n">
        <x:f>L70-K70</x:f>
        <x:v>-18.81667</x:v>
      </x:c>
      <x:c r="N70" s="72" t="n">
        <x:f>ABS(M70)</x:f>
        <x:v>18.81667</x:v>
      </x:c>
      <x:c r="O70" s="68" t="n">
        <x:f>G70-D70</x:f>
        <x:v>-2</x:v>
      </x:c>
    </x:row>
    <x:row r="71" ht="22" customHeight="1">
      <x:c r="A71" s="68" t="str">
        <x:v>DOWN</x:v>
      </x:c>
      <x:c r="B71" s="68" t="str">
        <x:v>2026-02-17</x:v>
      </x:c>
      <x:c r="C71" s="68" t="str">
        <x:v>옥천휴게소</x:v>
      </x:c>
      <x:c r="D71" s="68" t="n">
        <x:v>11</x:v>
      </x:c>
      <x:c r="E71" s="68" t="n">
        <x:v>3</x:v>
      </x:c>
      <x:c r="F71" s="68" t="n">
        <x:v>186</x:v>
      </x:c>
      <x:c r="G71" s="68" t="n">
        <x:v>189</x:v>
      </x:c>
      <x:c r="H71" s="68" t="n">
        <x:f>E71-D71</x:f>
        <x:v>-8</x:v>
      </x:c>
      <x:c r="I71" s="68" t="n">
        <x:f>ABS(H71)</x:f>
        <x:v>8</x:v>
      </x:c>
      <x:c r="J71" s="70" t="n">
        <x:f>IF(D71=0,"",100*I71/D71)</x:f>
        <x:v>72.72727272727273</x:v>
      </x:c>
      <x:c r="K71" s="72" t="n">
        <x:v>310.03333</x:v>
      </x:c>
      <x:c r="L71" s="72" t="n">
        <x:v>23.335379</x:v>
      </x:c>
      <x:c r="M71" s="72" t="n">
        <x:f>L71-K71</x:f>
        <x:v>-286.697951</x:v>
      </x:c>
      <x:c r="N71" s="72" t="n">
        <x:f>ABS(M71)</x:f>
        <x:v>286.697951</x:v>
      </x:c>
      <x:c r="O71" s="68" t="n">
        <x:f>G71-D71</x:f>
        <x:v>178</x:v>
      </x:c>
    </x:row>
    <x:row r="72" ht="22" customHeight="1">
      <x:c r="A72" s="68" t="str">
        <x:v>DOWN</x:v>
      </x:c>
      <x:c r="B72" s="68" t="str">
        <x:v>2026-02-17</x:v>
      </x:c>
      <x:c r="C72" s="68" t="str">
        <x:v>천안호두휴게소</x:v>
      </x:c>
      <x:c r="D72" s="68" t="n">
        <x:v>47</x:v>
      </x:c>
      <x:c r="E72" s="68" t="n">
        <x:v>0</x:v>
      </x:c>
      <x:c r="F72" s="68" t="n">
        <x:v>23</x:v>
      </x:c>
      <x:c r="G72" s="68" t="n">
        <x:v>23</x:v>
      </x:c>
      <x:c r="H72" s="68" t="n">
        <x:f>E72-D72</x:f>
        <x:v>-47</x:v>
      </x:c>
      <x:c r="I72" s="68" t="n">
        <x:f>ABS(H72)</x:f>
        <x:v>47</x:v>
      </x:c>
      <x:c r="J72" s="70" t="n">
        <x:f>IF(D72=0,"",100*I72/D72)</x:f>
        <x:v>100</x:v>
      </x:c>
      <x:c r="K72" s="72" t="n">
        <x:v>1105.63334</x:v>
      </x:c>
      <x:c r="L72" s="72" t="n">
        <x:v>0</x:v>
      </x:c>
      <x:c r="M72" s="72" t="n">
        <x:f>L72-K72</x:f>
        <x:v>-1105.63334</x:v>
      </x:c>
      <x:c r="N72" s="72" t="n">
        <x:f>ABS(M72)</x:f>
        <x:v>1105.63334</x:v>
      </x:c>
      <x:c r="O72" s="68" t="n">
        <x:f>G72-D72</x:f>
        <x:v>-24</x:v>
      </x:c>
    </x:row>
    <x:row r="73" ht="22" customHeight="1">
      <x:c r="A73" s="68" t="str">
        <x:v>DOWN</x:v>
      </x:c>
      <x:c r="B73" s="68" t="str">
        <x:v>2026-02-17</x:v>
      </x:c>
      <x:c r="C73" s="68" t="str">
        <x:v>추풍령휴게소</x:v>
      </x:c>
      <x:c r="D73" s="68" t="n">
        <x:v>27</x:v>
      </x:c>
      <x:c r="E73" s="68" t="n">
        <x:v>87</x:v>
      </x:c>
      <x:c r="F73" s="68" t="n">
        <x:v>33</x:v>
      </x:c>
      <x:c r="G73" s="68" t="n">
        <x:v>120</x:v>
      </x:c>
      <x:c r="H73" s="68" t="n">
        <x:f>E73-D73</x:f>
        <x:v>60</x:v>
      </x:c>
      <x:c r="I73" s="68" t="n">
        <x:f>ABS(H73)</x:f>
        <x:v>60</x:v>
      </x:c>
      <x:c r="J73" s="70" t="n">
        <x:f>IF(D73=0,"",100*I73/D73)</x:f>
        <x:v>222.22222222222223</x:v>
      </x:c>
      <x:c r="K73" s="72" t="n">
        <x:v>733.16667</x:v>
      </x:c>
      <x:c r="L73" s="72" t="n">
        <x:v>1464.137664</x:v>
      </x:c>
      <x:c r="M73" s="72" t="n">
        <x:f>L73-K73</x:f>
        <x:v>730.9709940000001</x:v>
      </x:c>
      <x:c r="N73" s="72" t="n">
        <x:f>ABS(M73)</x:f>
        <x:v>730.9709940000001</x:v>
      </x:c>
      <x:c r="O73" s="68" t="n">
        <x:f>G73-D73</x:f>
        <x:v>93</x:v>
      </x:c>
    </x:row>
    <x:row r="74" ht="22" customHeight="1">
      <x:c r="A74" s="68" t="str">
        <x:v>DOWN</x:v>
      </x:c>
      <x:c r="B74" s="68" t="str">
        <x:v>2026-02-17</x:v>
      </x:c>
      <x:c r="C74" s="68" t="str">
        <x:v>칠곡휴게소</x:v>
      </x:c>
      <x:c r="D74" s="68" t="n">
        <x:v>97</x:v>
      </x:c>
      <x:c r="E74" s="68" t="n">
        <x:v>20</x:v>
      </x:c>
      <x:c r="F74" s="68" t="n">
        <x:v>298</x:v>
      </x:c>
      <x:c r="G74" s="68" t="n">
        <x:v>318</x:v>
      </x:c>
      <x:c r="H74" s="68" t="n">
        <x:f>E74-D74</x:f>
        <x:v>-77</x:v>
      </x:c>
      <x:c r="I74" s="68" t="n">
        <x:f>ABS(H74)</x:f>
        <x:v>77</x:v>
      </x:c>
      <x:c r="J74" s="70" t="n">
        <x:f>IF(D74=0,"",100*I74/D74)</x:f>
        <x:v>79.38144329896907</x:v>
      </x:c>
      <x:c r="K74" s="72" t="n">
        <x:v>2933.13333</x:v>
      </x:c>
      <x:c r="L74" s="72" t="n">
        <x:v>463.911997</x:v>
      </x:c>
      <x:c r="M74" s="72" t="n">
        <x:f>L74-K74</x:f>
        <x:v>-2469.221333</x:v>
      </x:c>
      <x:c r="N74" s="72" t="n">
        <x:f>ABS(M74)</x:f>
        <x:v>2469.221333</x:v>
      </x:c>
      <x:c r="O74" s="68" t="n">
        <x:f>G74-D74</x:f>
        <x:v>221</x:v>
      </x:c>
    </x:row>
    <x:row r="75" ht="22" customHeight="1">
      <x:c r="A75" s="68" t="str">
        <x:v>DOWN</x:v>
      </x:c>
      <x:c r="B75" s="68" t="str">
        <x:v>2026-02-17</x:v>
      </x:c>
      <x:c r="C75" s="68" t="str">
        <x:v>통도사휴게소</x:v>
      </x:c>
      <x:c r="D75" s="68" t="n">
        <x:v>22</x:v>
      </x:c>
      <x:c r="E75" s="68" t="n">
        <x:v>0</x:v>
      </x:c>
      <x:c r="F75" s="68" t="n">
        <x:v>8</x:v>
      </x:c>
      <x:c r="G75" s="68" t="n">
        <x:v>8</x:v>
      </x:c>
      <x:c r="H75" s="68" t="n">
        <x:f>E75-D75</x:f>
        <x:v>-22</x:v>
      </x:c>
      <x:c r="I75" s="68" t="n">
        <x:f>ABS(H75)</x:f>
        <x:v>22</x:v>
      </x:c>
      <x:c r="J75" s="70" t="n">
        <x:f>IF(D75=0,"",100*I75/D75)</x:f>
        <x:v>100</x:v>
      </x:c>
      <x:c r="K75" s="72" t="n">
        <x:v>661.60002</x:v>
      </x:c>
      <x:c r="L75" s="72" t="n">
        <x:v>0</x:v>
      </x:c>
      <x:c r="M75" s="72" t="n">
        <x:f>L75-K75</x:f>
        <x:v>-661.60002</x:v>
      </x:c>
      <x:c r="N75" s="72" t="n">
        <x:f>ABS(M75)</x:f>
        <x:v>661.60002</x:v>
      </x:c>
      <x:c r="O75" s="68" t="n">
        <x:f>G75-D75</x:f>
        <x:v>-14</x:v>
      </x:c>
    </x:row>
    <x:row r="76" ht="22" customHeight="1">
      <x:c r="A76" s="68" t="str">
        <x:v>DOWN</x:v>
      </x:c>
      <x:c r="B76" s="68" t="str">
        <x:v>2026-02-17</x:v>
      </x:c>
      <x:c r="C76" s="68" t="str">
        <x:v>평사휴게소</x:v>
      </x:c>
      <x:c r="D76" s="68" t="n">
        <x:v>60</x:v>
      </x:c>
      <x:c r="E76" s="68" t="n">
        <x:v>188</x:v>
      </x:c>
      <x:c r="F76" s="68" t="n">
        <x:v>0</x:v>
      </x:c>
      <x:c r="G76" s="68" t="n">
        <x:v>188</x:v>
      </x:c>
      <x:c r="H76" s="68" t="n">
        <x:f>E76-D76</x:f>
        <x:v>128</x:v>
      </x:c>
      <x:c r="I76" s="68" t="n">
        <x:f>ABS(H76)</x:f>
        <x:v>128</x:v>
      </x:c>
      <x:c r="J76" s="70" t="n">
        <x:f>IF(D76=0,"",100*I76/D76)</x:f>
        <x:v>213.33333333333334</x:v>
      </x:c>
      <x:c r="K76" s="72" t="n">
        <x:v>1522.88333</x:v>
      </x:c>
      <x:c r="L76" s="72" t="n">
        <x:v>2186.93323</x:v>
      </x:c>
      <x:c r="M76" s="72" t="n">
        <x:f>L76-K76</x:f>
        <x:v>664.0499000000002</x:v>
      </x:c>
      <x:c r="N76" s="72" t="n">
        <x:f>ABS(M76)</x:f>
        <x:v>664.0499000000002</x:v>
      </x:c>
      <x:c r="O76" s="68" t="n">
        <x:f>G76-D76</x:f>
        <x:v>128</x:v>
      </x:c>
    </x:row>
    <x:row r="77" ht="22" customHeight="1">
      <x:c r="A77" s="68" t="str">
        <x:v>DOWN</x:v>
      </x:c>
      <x:c r="B77" s="68" t="str">
        <x:v>2026-02-18</x:v>
      </x:c>
      <x:c r="C77" s="68" t="str">
        <x:v>건천휴게소</x:v>
      </x:c>
      <x:c r="D77" s="68" t="n">
        <x:v>42</x:v>
      </x:c>
      <x:c r="E77" s="68" t="n">
        <x:v>72</x:v>
      </x:c>
      <x:c r="F77" s="68" t="n">
        <x:v>0</x:v>
      </x:c>
      <x:c r="G77" s="68" t="n">
        <x:v>72</x:v>
      </x:c>
      <x:c r="H77" s="68" t="n">
        <x:f>E77-D77</x:f>
        <x:v>30</x:v>
      </x:c>
      <x:c r="I77" s="68" t="n">
        <x:f>ABS(H77)</x:f>
        <x:v>30</x:v>
      </x:c>
      <x:c r="J77" s="70" t="n">
        <x:f>IF(D77=0,"",100*I77/D77)</x:f>
        <x:v>71.42857142857143</x:v>
      </x:c>
      <x:c r="K77" s="72" t="n">
        <x:v>847.98332</x:v>
      </x:c>
      <x:c r="L77" s="72" t="n">
        <x:v>772.663072</x:v>
      </x:c>
      <x:c r="M77" s="72" t="n">
        <x:f>L77-K77</x:f>
        <x:v>-75.32024799999999</x:v>
      </x:c>
      <x:c r="N77" s="72" t="n">
        <x:f>ABS(M77)</x:f>
        <x:v>75.32024799999999</x:v>
      </x:c>
      <x:c r="O77" s="68" t="n">
        <x:f>G77-D77</x:f>
        <x:v>30</x:v>
      </x:c>
    </x:row>
    <x:row r="78" ht="22" customHeight="1">
      <x:c r="A78" s="68" t="str">
        <x:v>DOWN</x:v>
      </x:c>
      <x:c r="B78" s="68" t="str">
        <x:v>2026-02-18</x:v>
      </x:c>
      <x:c r="C78" s="68" t="str">
        <x:v>금강휴게소</x:v>
      </x:c>
      <x:c r="D78" s="68" t="n">
        <x:v>25</x:v>
      </x:c>
      <x:c r="E78" s="68" t="n">
        <x:v>0</x:v>
      </x:c>
      <x:c r="F78" s="68" t="n">
        <x:v>0</x:v>
      </x:c>
      <x:c r="G78" s="68" t="n">
        <x:v>0</x:v>
      </x:c>
      <x:c r="H78" s="68" t="n">
        <x:f>E78-D78</x:f>
        <x:v>-25</x:v>
      </x:c>
      <x:c r="I78" s="68" t="n">
        <x:f>ABS(H78)</x:f>
        <x:v>25</x:v>
      </x:c>
      <x:c r="J78" s="70" t="n">
        <x:f>IF(D78=0,"",100*I78/D78)</x:f>
        <x:v>100</x:v>
      </x:c>
      <x:c r="K78" s="72" t="n">
        <x:v>683.01667</x:v>
      </x:c>
      <x:c r="L78" s="72" t="n">
        <x:v>0</x:v>
      </x:c>
      <x:c r="M78" s="72" t="n">
        <x:f>L78-K78</x:f>
        <x:v>-683.01667</x:v>
      </x:c>
      <x:c r="N78" s="72" t="n">
        <x:f>ABS(M78)</x:f>
        <x:v>683.01667</x:v>
      </x:c>
      <x:c r="O78" s="68" t="n">
        <x:f>G78-D78</x:f>
        <x:v>-25</x:v>
      </x:c>
    </x:row>
    <x:row r="79" ht="22" customHeight="1">
      <x:c r="A79" s="68" t="str">
        <x:v>DOWN</x:v>
      </x:c>
      <x:c r="B79" s="68" t="str">
        <x:v>2026-02-18</x:v>
      </x:c>
      <x:c r="C79" s="68" t="str">
        <x:v>기흥휴게소</x:v>
      </x:c>
      <x:c r="D79" s="68" t="n">
        <x:v>5</x:v>
      </x:c>
      <x:c r="E79" s="68" t="n">
        <x:v>0</x:v>
      </x:c>
      <x:c r="F79" s="68" t="n">
        <x:v>96</x:v>
      </x:c>
      <x:c r="G79" s="68" t="n">
        <x:v>96</x:v>
      </x:c>
      <x:c r="H79" s="68" t="n">
        <x:f>E79-D79</x:f>
        <x:v>-5</x:v>
      </x:c>
      <x:c r="I79" s="68" t="n">
        <x:f>ABS(H79)</x:f>
        <x:v>5</x:v>
      </x:c>
      <x:c r="J79" s="70" t="n">
        <x:f>IF(D79=0,"",100*I79/D79)</x:f>
        <x:v>100</x:v>
      </x:c>
      <x:c r="K79" s="72" t="n">
        <x:v>404.26667</x:v>
      </x:c>
      <x:c r="L79" s="72" t="n">
        <x:v>0</x:v>
      </x:c>
      <x:c r="M79" s="72" t="n">
        <x:f>L79-K79</x:f>
        <x:v>-404.26667</x:v>
      </x:c>
      <x:c r="N79" s="72" t="n">
        <x:f>ABS(M79)</x:f>
        <x:v>404.26667</x:v>
      </x:c>
      <x:c r="O79" s="68" t="n">
        <x:f>G79-D79</x:f>
        <x:v>91</x:v>
      </x:c>
    </x:row>
    <x:row r="80" ht="22" customHeight="1">
      <x:c r="A80" s="68" t="str">
        <x:v>DOWN</x:v>
      </x:c>
      <x:c r="B80" s="68" t="str">
        <x:v>2026-02-18</x:v>
      </x:c>
      <x:c r="C80" s="68" t="str">
        <x:v>김천휴게소</x:v>
      </x:c>
      <x:c r="D80" s="68" t="n">
        <x:v>31</x:v>
      </x:c>
      <x:c r="E80" s="68" t="n">
        <x:v>35</x:v>
      </x:c>
      <x:c r="F80" s="68" t="n">
        <x:v>0</x:v>
      </x:c>
      <x:c r="G80" s="68" t="n">
        <x:v>35</x:v>
      </x:c>
      <x:c r="H80" s="68" t="n">
        <x:f>E80-D80</x:f>
        <x:v>4</x:v>
      </x:c>
      <x:c r="I80" s="68" t="n">
        <x:f>ABS(H80)</x:f>
        <x:v>4</x:v>
      </x:c>
      <x:c r="J80" s="70" t="n">
        <x:f>IF(D80=0,"",100*I80/D80)</x:f>
        <x:v>12.903225806451612</x:v>
      </x:c>
      <x:c r="K80" s="72" t="n">
        <x:v>738.63333</x:v>
      </x:c>
      <x:c r="L80" s="72" t="n">
        <x:v>626.394014</x:v>
      </x:c>
      <x:c r="M80" s="72" t="n">
        <x:f>L80-K80</x:f>
        <x:v>-112.23931600000003</x:v>
      </x:c>
      <x:c r="N80" s="72" t="n">
        <x:f>ABS(M80)</x:f>
        <x:v>112.23931600000003</x:v>
      </x:c>
      <x:c r="O80" s="68" t="n">
        <x:f>G80-D80</x:f>
        <x:v>4</x:v>
      </x:c>
    </x:row>
    <x:row r="81" ht="22" customHeight="1">
      <x:c r="A81" s="68" t="str">
        <x:v>DOWN</x:v>
      </x:c>
      <x:c r="B81" s="68" t="str">
        <x:v>2026-02-18</x:v>
      </x:c>
      <x:c r="C81" s="68" t="str">
        <x:v>서울만남휴게소</x:v>
      </x:c>
      <x:c r="D81" s="68" t="n">
        <x:v>13</x:v>
      </x:c>
      <x:c r="E81" s="68" t="n">
        <x:v>2</x:v>
      </x:c>
      <x:c r="F81" s="68" t="n">
        <x:v>202</x:v>
      </x:c>
      <x:c r="G81" s="68" t="n">
        <x:v>204</x:v>
      </x:c>
      <x:c r="H81" s="68" t="n">
        <x:f>E81-D81</x:f>
        <x:v>-11</x:v>
      </x:c>
      <x:c r="I81" s="68" t="n">
        <x:f>ABS(H81)</x:f>
        <x:v>11</x:v>
      </x:c>
      <x:c r="J81" s="70" t="n">
        <x:f>IF(D81=0,"",100*I81/D81)</x:f>
        <x:v>84.61538461538461</x:v>
      </x:c>
      <x:c r="K81" s="72" t="n">
        <x:v>399.9</x:v>
      </x:c>
      <x:c r="L81" s="72" t="n">
        <x:v>2.223452</x:v>
      </x:c>
      <x:c r="M81" s="72" t="n">
        <x:f>L81-K81</x:f>
        <x:v>-397.67654799999997</x:v>
      </x:c>
      <x:c r="N81" s="72" t="n">
        <x:f>ABS(M81)</x:f>
        <x:v>397.67654799999997</x:v>
      </x:c>
      <x:c r="O81" s="68" t="n">
        <x:f>G81-D81</x:f>
        <x:v>191</x:v>
      </x:c>
    </x:row>
    <x:row r="82" ht="22" customHeight="1">
      <x:c r="A82" s="68" t="str">
        <x:v>DOWN</x:v>
      </x:c>
      <x:c r="B82" s="68" t="str">
        <x:v>2026-02-18</x:v>
      </x:c>
      <x:c r="C82" s="68" t="str">
        <x:v>서울하이패스센터쉼터</x:v>
      </x:c>
      <x:c r="D82" s="68" t="n">
        <x:v>14</x:v>
      </x:c>
      <x:c r="E82" s="68" t="n">
        <x:v>0</x:v>
      </x:c>
      <x:c r="F82" s="68" t="n">
        <x:v>0</x:v>
      </x:c>
      <x:c r="G82" s="68" t="n">
        <x:v>0</x:v>
      </x:c>
      <x:c r="H82" s="68" t="n">
        <x:f>E82-D82</x:f>
        <x:v>-14</x:v>
      </x:c>
      <x:c r="I82" s="68" t="n">
        <x:f>ABS(H82)</x:f>
        <x:v>14</x:v>
      </x:c>
      <x:c r="J82" s="70" t="n">
        <x:f>IF(D82=0,"",100*I82/D82)</x:f>
        <x:v>100</x:v>
      </x:c>
      <x:c r="K82" s="72" t="n">
        <x:v>293.85001</x:v>
      </x:c>
      <x:c r="L82" s="72" t="n">
        <x:v>0</x:v>
      </x:c>
      <x:c r="M82" s="72" t="n">
        <x:f>L82-K82</x:f>
        <x:v>-293.85001</x:v>
      </x:c>
      <x:c r="N82" s="72" t="n">
        <x:f>ABS(M82)</x:f>
        <x:v>293.85001</x:v>
      </x:c>
      <x:c r="O82" s="68" t="n">
        <x:f>G82-D82</x:f>
        <x:v>-14</x:v>
      </x:c>
    </x:row>
    <x:row r="83" ht="22" customHeight="1">
      <x:c r="A83" s="68" t="str">
        <x:v>DOWN</x:v>
      </x:c>
      <x:c r="B83" s="68" t="str">
        <x:v>2026-02-18</x:v>
      </x:c>
      <x:c r="C83" s="68" t="str">
        <x:v>안성휴게소</x:v>
      </x:c>
      <x:c r="D83" s="68" t="n">
        <x:v>25</x:v>
      </x:c>
      <x:c r="E83" s="68" t="n">
        <x:v>3</x:v>
      </x:c>
      <x:c r="F83" s="68" t="n">
        <x:v>125</x:v>
      </x:c>
      <x:c r="G83" s="68" t="n">
        <x:v>128</x:v>
      </x:c>
      <x:c r="H83" s="68" t="n">
        <x:f>E83-D83</x:f>
        <x:v>-22</x:v>
      </x:c>
      <x:c r="I83" s="68" t="n">
        <x:f>ABS(H83)</x:f>
        <x:v>22</x:v>
      </x:c>
      <x:c r="J83" s="70" t="n">
        <x:f>IF(D83=0,"",100*I83/D83)</x:f>
        <x:v>88</x:v>
      </x:c>
      <x:c r="K83" s="72" t="n">
        <x:v>707.35</x:v>
      </x:c>
      <x:c r="L83" s="72" t="n">
        <x:v>8.618792</x:v>
      </x:c>
      <x:c r="M83" s="72" t="n">
        <x:f>L83-K83</x:f>
        <x:v>-698.731208</x:v>
      </x:c>
      <x:c r="N83" s="72" t="n">
        <x:f>ABS(M83)</x:f>
        <x:v>698.731208</x:v>
      </x:c>
      <x:c r="O83" s="68" t="n">
        <x:f>G83-D83</x:f>
        <x:v>103</x:v>
      </x:c>
    </x:row>
    <x:row r="84" ht="22" customHeight="1">
      <x:c r="A84" s="68" t="str">
        <x:v>DOWN</x:v>
      </x:c>
      <x:c r="B84" s="68" t="str">
        <x:v>2026-02-18</x:v>
      </x:c>
      <x:c r="C84" s="68" t="str">
        <x:v>옥산휴게소</x:v>
      </x:c>
      <x:c r="D84" s="68" t="n">
        <x:v>16</x:v>
      </x:c>
      <x:c r="E84" s="68" t="n">
        <x:v>52</x:v>
      </x:c>
      <x:c r="F84" s="68" t="n">
        <x:v>8</x:v>
      </x:c>
      <x:c r="G84" s="68" t="n">
        <x:v>60</x:v>
      </x:c>
      <x:c r="H84" s="68" t="n">
        <x:f>E84-D84</x:f>
        <x:v>36</x:v>
      </x:c>
      <x:c r="I84" s="68" t="n">
        <x:f>ABS(H84)</x:f>
        <x:v>36</x:v>
      </x:c>
      <x:c r="J84" s="70" t="n">
        <x:f>IF(D84=0,"",100*I84/D84)</x:f>
        <x:v>225</x:v>
      </x:c>
      <x:c r="K84" s="72" t="n">
        <x:v>348.41666</x:v>
      </x:c>
      <x:c r="L84" s="72" t="n">
        <x:v>823.221285</x:v>
      </x:c>
      <x:c r="M84" s="72" t="n">
        <x:f>L84-K84</x:f>
        <x:v>474.804625</x:v>
      </x:c>
      <x:c r="N84" s="72" t="n">
        <x:f>ABS(M84)</x:f>
        <x:v>474.804625</x:v>
      </x:c>
      <x:c r="O84" s="68" t="n">
        <x:f>G84-D84</x:f>
        <x:v>44</x:v>
      </x:c>
    </x:row>
    <x:row r="85" ht="22" customHeight="1">
      <x:c r="A85" s="68" t="str">
        <x:v>DOWN</x:v>
      </x:c>
      <x:c r="B85" s="68" t="str">
        <x:v>2026-02-18</x:v>
      </x:c>
      <x:c r="C85" s="68" t="str">
        <x:v>옥천만남휴게소</x:v>
      </x:c>
      <x:c r="D85" s="68" t="n">
        <x:v>0</x:v>
      </x:c>
      <x:c r="E85" s="68" t="n">
        <x:v>0</x:v>
      </x:c>
      <x:c r="F85" s="68" t="n">
        <x:v>0</x:v>
      </x:c>
      <x:c r="G85" s="68" t="n">
        <x:v>0</x:v>
      </x:c>
      <x:c r="H85" s="68" t="n">
        <x:f>E85-D85</x:f>
        <x:v>0</x:v>
      </x:c>
      <x:c r="I85" s="68" t="n">
        <x:f>ABS(H85)</x:f>
        <x:v>0</x:v>
      </x:c>
      <x:c r="J85" s="70" t="str">
        <x:f>IF(D85=0,"",100*I85/D85)</x:f>
      </x:c>
      <x:c r="K85" s="72" t="n">
        <x:v>0</x:v>
      </x:c>
      <x:c r="L85" s="72" t="n">
        <x:v>0</x:v>
      </x:c>
      <x:c r="M85" s="72" t="n">
        <x:f>L85-K85</x:f>
        <x:v>0</x:v>
      </x:c>
      <x:c r="N85" s="72" t="n">
        <x:f>ABS(M85)</x:f>
        <x:v>0</x:v>
      </x:c>
      <x:c r="O85" s="68" t="n">
        <x:f>G85-D85</x:f>
        <x:v>0</x:v>
      </x:c>
    </x:row>
    <x:row r="86" ht="22" customHeight="1">
      <x:c r="A86" s="68" t="str">
        <x:v>DOWN</x:v>
      </x:c>
      <x:c r="B86" s="68" t="str">
        <x:v>2026-02-18</x:v>
      </x:c>
      <x:c r="C86" s="68" t="str">
        <x:v>옥천휴게소</x:v>
      </x:c>
      <x:c r="D86" s="68" t="n">
        <x:v>4</x:v>
      </x:c>
      <x:c r="E86" s="68" t="n">
        <x:v>0</x:v>
      </x:c>
      <x:c r="F86" s="68" t="n">
        <x:v>98</x:v>
      </x:c>
      <x:c r="G86" s="68" t="n">
        <x:v>98</x:v>
      </x:c>
      <x:c r="H86" s="68" t="n">
        <x:f>E86-D86</x:f>
        <x:v>-4</x:v>
      </x:c>
      <x:c r="I86" s="68" t="n">
        <x:f>ABS(H86)</x:f>
        <x:v>4</x:v>
      </x:c>
      <x:c r="J86" s="70" t="n">
        <x:f>IF(D86=0,"",100*I86/D86)</x:f>
        <x:v>100</x:v>
      </x:c>
      <x:c r="K86" s="72" t="n">
        <x:v>159.2</x:v>
      </x:c>
      <x:c r="L86" s="72" t="n">
        <x:v>0</x:v>
      </x:c>
      <x:c r="M86" s="72" t="n">
        <x:f>L86-K86</x:f>
        <x:v>-159.2</x:v>
      </x:c>
      <x:c r="N86" s="72" t="n">
        <x:f>ABS(M86)</x:f>
        <x:v>159.2</x:v>
      </x:c>
      <x:c r="O86" s="68" t="n">
        <x:f>G86-D86</x:f>
        <x:v>94</x:v>
      </x:c>
    </x:row>
    <x:row r="87" ht="22" customHeight="1">
      <x:c r="A87" s="68" t="str">
        <x:v>DOWN</x:v>
      </x:c>
      <x:c r="B87" s="68" t="str">
        <x:v>2026-02-18</x:v>
      </x:c>
      <x:c r="C87" s="68" t="str">
        <x:v>천안호두휴게소</x:v>
      </x:c>
      <x:c r="D87" s="68" t="n">
        <x:v>34</x:v>
      </x:c>
      <x:c r="E87" s="68" t="n">
        <x:v>0</x:v>
      </x:c>
      <x:c r="F87" s="68" t="n">
        <x:v>16</x:v>
      </x:c>
      <x:c r="G87" s="68" t="n">
        <x:v>16</x:v>
      </x:c>
      <x:c r="H87" s="68" t="n">
        <x:f>E87-D87</x:f>
        <x:v>-34</x:v>
      </x:c>
      <x:c r="I87" s="68" t="n">
        <x:f>ABS(H87)</x:f>
        <x:v>34</x:v>
      </x:c>
      <x:c r="J87" s="70" t="n">
        <x:f>IF(D87=0,"",100*I87/D87)</x:f>
        <x:v>100</x:v>
      </x:c>
      <x:c r="K87" s="72" t="n">
        <x:v>971.76666</x:v>
      </x:c>
      <x:c r="L87" s="72" t="n">
        <x:v>0</x:v>
      </x:c>
      <x:c r="M87" s="72" t="n">
        <x:f>L87-K87</x:f>
        <x:v>-971.76666</x:v>
      </x:c>
      <x:c r="N87" s="72" t="n">
        <x:f>ABS(M87)</x:f>
        <x:v>971.76666</x:v>
      </x:c>
      <x:c r="O87" s="68" t="n">
        <x:f>G87-D87</x:f>
        <x:v>-18</x:v>
      </x:c>
    </x:row>
    <x:row r="88" ht="22" customHeight="1">
      <x:c r="A88" s="68" t="str">
        <x:v>DOWN</x:v>
      </x:c>
      <x:c r="B88" s="68" t="str">
        <x:v>2026-02-18</x:v>
      </x:c>
      <x:c r="C88" s="68" t="str">
        <x:v>추풍령휴게소</x:v>
      </x:c>
      <x:c r="D88" s="68" t="n">
        <x:v>14</x:v>
      </x:c>
      <x:c r="E88" s="68" t="n">
        <x:v>45</x:v>
      </x:c>
      <x:c r="F88" s="68" t="n">
        <x:v>15</x:v>
      </x:c>
      <x:c r="G88" s="68" t="n">
        <x:v>60</x:v>
      </x:c>
      <x:c r="H88" s="68" t="n">
        <x:f>E88-D88</x:f>
        <x:v>31</x:v>
      </x:c>
      <x:c r="I88" s="68" t="n">
        <x:f>ABS(H88)</x:f>
        <x:v>31</x:v>
      </x:c>
      <x:c r="J88" s="70" t="n">
        <x:f>IF(D88=0,"",100*I88/D88)</x:f>
        <x:v>221.42857142857142</x:v>
      </x:c>
      <x:c r="K88" s="72" t="n">
        <x:v>320.74999</x:v>
      </x:c>
      <x:c r="L88" s="72" t="n">
        <x:v>894.440826</x:v>
      </x:c>
      <x:c r="M88" s="72" t="n">
        <x:f>L88-K88</x:f>
        <x:v>573.690836</x:v>
      </x:c>
      <x:c r="N88" s="72" t="n">
        <x:f>ABS(M88)</x:f>
        <x:v>573.690836</x:v>
      </x:c>
      <x:c r="O88" s="68" t="n">
        <x:f>G88-D88</x:f>
        <x:v>46</x:v>
      </x:c>
    </x:row>
    <x:row r="89" ht="22" customHeight="1">
      <x:c r="A89" s="68" t="str">
        <x:v>DOWN</x:v>
      </x:c>
      <x:c r="B89" s="68" t="str">
        <x:v>2026-02-18</x:v>
      </x:c>
      <x:c r="C89" s="68" t="str">
        <x:v>칠곡휴게소</x:v>
      </x:c>
      <x:c r="D89" s="68" t="n">
        <x:v>81</x:v>
      </x:c>
      <x:c r="E89" s="68" t="n">
        <x:v>15</x:v>
      </x:c>
      <x:c r="F89" s="68" t="n">
        <x:v>242</x:v>
      </x:c>
      <x:c r="G89" s="68" t="n">
        <x:v>257</x:v>
      </x:c>
      <x:c r="H89" s="68" t="n">
        <x:f>E89-D89</x:f>
        <x:v>-66</x:v>
      </x:c>
      <x:c r="I89" s="68" t="n">
        <x:f>ABS(H89)</x:f>
        <x:v>66</x:v>
      </x:c>
      <x:c r="J89" s="70" t="n">
        <x:f>IF(D89=0,"",100*I89/D89)</x:f>
        <x:v>81.48148148148148</x:v>
      </x:c>
      <x:c r="K89" s="72" t="n">
        <x:v>3133.96667</x:v>
      </x:c>
      <x:c r="L89" s="72" t="n">
        <x:v>168.626526</x:v>
      </x:c>
      <x:c r="M89" s="72" t="n">
        <x:f>L89-K89</x:f>
        <x:v>-2965.340144</x:v>
      </x:c>
      <x:c r="N89" s="72" t="n">
        <x:f>ABS(M89)</x:f>
        <x:v>2965.340144</x:v>
      </x:c>
      <x:c r="O89" s="68" t="n">
        <x:f>G89-D89</x:f>
        <x:v>176</x:v>
      </x:c>
    </x:row>
    <x:row r="90" ht="22" customHeight="1">
      <x:c r="A90" s="68" t="str">
        <x:v>DOWN</x:v>
      </x:c>
      <x:c r="B90" s="68" t="str">
        <x:v>2026-02-18</x:v>
      </x:c>
      <x:c r="C90" s="68" t="str">
        <x:v>통도사휴게소</x:v>
      </x:c>
      <x:c r="D90" s="68" t="n">
        <x:v>15</x:v>
      </x:c>
      <x:c r="E90" s="68" t="n">
        <x:v>0</x:v>
      </x:c>
      <x:c r="F90" s="68" t="n">
        <x:v>4</x:v>
      </x:c>
      <x:c r="G90" s="68" t="n">
        <x:v>4</x:v>
      </x:c>
      <x:c r="H90" s="68" t="n">
        <x:f>E90-D90</x:f>
        <x:v>-15</x:v>
      </x:c>
      <x:c r="I90" s="68" t="n">
        <x:f>ABS(H90)</x:f>
        <x:v>15</x:v>
      </x:c>
      <x:c r="J90" s="70" t="n">
        <x:f>IF(D90=0,"",100*I90/D90)</x:f>
        <x:v>100</x:v>
      </x:c>
      <x:c r="K90" s="72" t="n">
        <x:v>603.35</x:v>
      </x:c>
      <x:c r="L90" s="72" t="n">
        <x:v>0</x:v>
      </x:c>
      <x:c r="M90" s="72" t="n">
        <x:f>L90-K90</x:f>
        <x:v>-603.35</x:v>
      </x:c>
      <x:c r="N90" s="72" t="n">
        <x:f>ABS(M90)</x:f>
        <x:v>603.35</x:v>
      </x:c>
      <x:c r="O90" s="68" t="n">
        <x:f>G90-D90</x:f>
        <x:v>-11</x:v>
      </x:c>
    </x:row>
    <x:row r="91" ht="22" customHeight="1">
      <x:c r="A91" s="68" t="str">
        <x:v>DOWN</x:v>
      </x:c>
      <x:c r="B91" s="68" t="str">
        <x:v>2026-02-18</x:v>
      </x:c>
      <x:c r="C91" s="68" t="str">
        <x:v>평사휴게소</x:v>
      </x:c>
      <x:c r="D91" s="68" t="n">
        <x:v>30</x:v>
      </x:c>
      <x:c r="E91" s="68" t="n">
        <x:v>187</x:v>
      </x:c>
      <x:c r="F91" s="68" t="n">
        <x:v>0</x:v>
      </x:c>
      <x:c r="G91" s="68" t="n">
        <x:v>187</x:v>
      </x:c>
      <x:c r="H91" s="68" t="n">
        <x:f>E91-D91</x:f>
        <x:v>157</x:v>
      </x:c>
      <x:c r="I91" s="68" t="n">
        <x:f>ABS(H91)</x:f>
        <x:v>157</x:v>
      </x:c>
      <x:c r="J91" s="70" t="n">
        <x:f>IF(D91=0,"",100*I91/D91)</x:f>
        <x:v>523.3333333333334</x:v>
      </x:c>
      <x:c r="K91" s="72" t="n">
        <x:v>635.96668</x:v>
      </x:c>
      <x:c r="L91" s="72" t="n">
        <x:v>1866.601989</x:v>
      </x:c>
      <x:c r="M91" s="72" t="n">
        <x:f>L91-K91</x:f>
        <x:v>1230.635309</x:v>
      </x:c>
      <x:c r="N91" s="72" t="n">
        <x:f>ABS(M91)</x:f>
        <x:v>1230.635309</x:v>
      </x:c>
      <x:c r="O91" s="68" t="n">
        <x:f>G91-D91</x:f>
        <x:v>157</x:v>
      </x:c>
    </x:row>
    <x:row r="92" ht="22" customHeight="1">
      <x:c r="A92" s="68" t="str">
        <x:v>DOWN</x:v>
      </x:c>
      <x:c r="B92" s="68" t="str">
        <x:v>2026-02-19</x:v>
      </x:c>
      <x:c r="C92" s="68" t="str">
        <x:v>건천휴게소</x:v>
      </x:c>
      <x:c r="D92" s="68" t="n">
        <x:v>57</x:v>
      </x:c>
      <x:c r="E92" s="68" t="n">
        <x:v>41</x:v>
      </x:c>
      <x:c r="F92" s="68" t="n">
        <x:v>0</x:v>
      </x:c>
      <x:c r="G92" s="68" t="n">
        <x:v>41</x:v>
      </x:c>
      <x:c r="H92" s="68" t="n">
        <x:f>E92-D92</x:f>
        <x:v>-16</x:v>
      </x:c>
      <x:c r="I92" s="68" t="n">
        <x:f>ABS(H92)</x:f>
        <x:v>16</x:v>
      </x:c>
      <x:c r="J92" s="70" t="n">
        <x:f>IF(D92=0,"",100*I92/D92)</x:f>
        <x:v>28.07017543859649</x:v>
      </x:c>
      <x:c r="K92" s="72" t="n">
        <x:v>1385.41666</x:v>
      </x:c>
      <x:c r="L92" s="72" t="n">
        <x:v>407.109782</x:v>
      </x:c>
      <x:c r="M92" s="72" t="n">
        <x:f>L92-K92</x:f>
        <x:v>-978.3068780000001</x:v>
      </x:c>
      <x:c r="N92" s="72" t="n">
        <x:f>ABS(M92)</x:f>
        <x:v>978.3068780000001</x:v>
      </x:c>
      <x:c r="O92" s="68" t="n">
        <x:f>G92-D92</x:f>
        <x:v>-16</x:v>
      </x:c>
    </x:row>
    <x:row r="93" ht="22" customHeight="1">
      <x:c r="A93" s="68" t="str">
        <x:v>DOWN</x:v>
      </x:c>
      <x:c r="B93" s="68" t="str">
        <x:v>2026-02-19</x:v>
      </x:c>
      <x:c r="C93" s="68" t="str">
        <x:v>금강휴게소</x:v>
      </x:c>
      <x:c r="D93" s="68" t="n">
        <x:v>19</x:v>
      </x:c>
      <x:c r="E93" s="68" t="n">
        <x:v>1</x:v>
      </x:c>
      <x:c r="F93" s="68" t="n">
        <x:v>0</x:v>
      </x:c>
      <x:c r="G93" s="68" t="n">
        <x:v>1</x:v>
      </x:c>
      <x:c r="H93" s="68" t="n">
        <x:f>E93-D93</x:f>
        <x:v>-18</x:v>
      </x:c>
      <x:c r="I93" s="68" t="n">
        <x:f>ABS(H93)</x:f>
        <x:v>18</x:v>
      </x:c>
      <x:c r="J93" s="70" t="n">
        <x:f>IF(D93=0,"",100*I93/D93)</x:f>
        <x:v>94.73684210526316</x:v>
      </x:c>
      <x:c r="K93" s="72" t="n">
        <x:v>634.41668</x:v>
      </x:c>
      <x:c r="L93" s="72" t="n">
        <x:v>60.508687</x:v>
      </x:c>
      <x:c r="M93" s="72" t="n">
        <x:f>L93-K93</x:f>
        <x:v>-573.907993</x:v>
      </x:c>
      <x:c r="N93" s="72" t="n">
        <x:f>ABS(M93)</x:f>
        <x:v>573.907993</x:v>
      </x:c>
      <x:c r="O93" s="68" t="n">
        <x:f>G93-D93</x:f>
        <x:v>-18</x:v>
      </x:c>
    </x:row>
    <x:row r="94" ht="22" customHeight="1">
      <x:c r="A94" s="68" t="str">
        <x:v>DOWN</x:v>
      </x:c>
      <x:c r="B94" s="68" t="str">
        <x:v>2026-02-19</x:v>
      </x:c>
      <x:c r="C94" s="68" t="str">
        <x:v>기흥휴게소</x:v>
      </x:c>
      <x:c r="D94" s="68" t="n">
        <x:v>16</x:v>
      </x:c>
      <x:c r="E94" s="68" t="n">
        <x:v>0</x:v>
      </x:c>
      <x:c r="F94" s="68" t="n">
        <x:v>102</x:v>
      </x:c>
      <x:c r="G94" s="68" t="n">
        <x:v>102</x:v>
      </x:c>
      <x:c r="H94" s="68" t="n">
        <x:f>E94-D94</x:f>
        <x:v>-16</x:v>
      </x:c>
      <x:c r="I94" s="68" t="n">
        <x:f>ABS(H94)</x:f>
        <x:v>16</x:v>
      </x:c>
      <x:c r="J94" s="70" t="n">
        <x:f>IF(D94=0,"",100*I94/D94)</x:f>
        <x:v>100</x:v>
      </x:c>
      <x:c r="K94" s="72" t="n">
        <x:v>513.55</x:v>
      </x:c>
      <x:c r="L94" s="72" t="n">
        <x:v>0</x:v>
      </x:c>
      <x:c r="M94" s="72" t="n">
        <x:f>L94-K94</x:f>
        <x:v>-513.55</x:v>
      </x:c>
      <x:c r="N94" s="72" t="n">
        <x:f>ABS(M94)</x:f>
        <x:v>513.55</x:v>
      </x:c>
      <x:c r="O94" s="68" t="n">
        <x:f>G94-D94</x:f>
        <x:v>86</x:v>
      </x:c>
    </x:row>
    <x:row r="95" ht="22" customHeight="1">
      <x:c r="A95" s="68" t="str">
        <x:v>DOWN</x:v>
      </x:c>
      <x:c r="B95" s="68" t="str">
        <x:v>2026-02-19</x:v>
      </x:c>
      <x:c r="C95" s="68" t="str">
        <x:v>김천휴게소</x:v>
      </x:c>
      <x:c r="D95" s="68" t="n">
        <x:v>23</x:v>
      </x:c>
      <x:c r="E95" s="68" t="n">
        <x:v>22</x:v>
      </x:c>
      <x:c r="F95" s="68" t="n">
        <x:v>0</x:v>
      </x:c>
      <x:c r="G95" s="68" t="n">
        <x:v>22</x:v>
      </x:c>
      <x:c r="H95" s="68" t="n">
        <x:f>E95-D95</x:f>
        <x:v>-1</x:v>
      </x:c>
      <x:c r="I95" s="68" t="n">
        <x:f>ABS(H95)</x:f>
        <x:v>1</x:v>
      </x:c>
      <x:c r="J95" s="70" t="n">
        <x:f>IF(D95=0,"",100*I95/D95)</x:f>
        <x:v>4.3478260869565215</x:v>
      </x:c>
      <x:c r="K95" s="72" t="n">
        <x:v>728.11667</x:v>
      </x:c>
      <x:c r="L95" s="72" t="n">
        <x:v>500.065983</x:v>
      </x:c>
      <x:c r="M95" s="72" t="n">
        <x:f>L95-K95</x:f>
        <x:v>-228.05068699999998</x:v>
      </x:c>
      <x:c r="N95" s="72" t="n">
        <x:f>ABS(M95)</x:f>
        <x:v>228.05068699999998</x:v>
      </x:c>
      <x:c r="O95" s="68" t="n">
        <x:f>G95-D95</x:f>
        <x:v>-1</x:v>
      </x:c>
    </x:row>
    <x:row r="96" ht="22" customHeight="1">
      <x:c r="A96" s="68" t="str">
        <x:v>DOWN</x:v>
      </x:c>
      <x:c r="B96" s="68" t="str">
        <x:v>2026-02-19</x:v>
      </x:c>
      <x:c r="C96" s="68" t="str">
        <x:v>서울만남휴게소</x:v>
      </x:c>
      <x:c r="D96" s="68" t="n">
        <x:v>13</x:v>
      </x:c>
      <x:c r="E96" s="68" t="n">
        <x:v>0</x:v>
      </x:c>
      <x:c r="F96" s="68" t="n">
        <x:v>232</x:v>
      </x:c>
      <x:c r="G96" s="68" t="n">
        <x:v>232</x:v>
      </x:c>
      <x:c r="H96" s="68" t="n">
        <x:f>E96-D96</x:f>
        <x:v>-13</x:v>
      </x:c>
      <x:c r="I96" s="68" t="n">
        <x:f>ABS(H96)</x:f>
        <x:v>13</x:v>
      </x:c>
      <x:c r="J96" s="70" t="n">
        <x:f>IF(D96=0,"",100*I96/D96)</x:f>
        <x:v>100</x:v>
      </x:c>
      <x:c r="K96" s="72" t="n">
        <x:v>438.66666</x:v>
      </x:c>
      <x:c r="L96" s="72" t="n">
        <x:v>0</x:v>
      </x:c>
      <x:c r="M96" s="72" t="n">
        <x:f>L96-K96</x:f>
        <x:v>-438.66666</x:v>
      </x:c>
      <x:c r="N96" s="72" t="n">
        <x:f>ABS(M96)</x:f>
        <x:v>438.66666</x:v>
      </x:c>
      <x:c r="O96" s="68" t="n">
        <x:f>G96-D96</x:f>
        <x:v>219</x:v>
      </x:c>
    </x:row>
    <x:row r="97" ht="22" customHeight="1">
      <x:c r="A97" s="68" t="str">
        <x:v>DOWN</x:v>
      </x:c>
      <x:c r="B97" s="68" t="str">
        <x:v>2026-02-19</x:v>
      </x:c>
      <x:c r="C97" s="68" t="str">
        <x:v>서울하이패스센터쉼터</x:v>
      </x:c>
      <x:c r="D97" s="68" t="n">
        <x:v>16</x:v>
      </x:c>
      <x:c r="E97" s="68" t="n">
        <x:v>1</x:v>
      </x:c>
      <x:c r="F97" s="68" t="n">
        <x:v>0</x:v>
      </x:c>
      <x:c r="G97" s="68" t="n">
        <x:v>1</x:v>
      </x:c>
      <x:c r="H97" s="68" t="n">
        <x:f>E97-D97</x:f>
        <x:v>-15</x:v>
      </x:c>
      <x:c r="I97" s="68" t="n">
        <x:f>ABS(H97)</x:f>
        <x:v>15</x:v>
      </x:c>
      <x:c r="J97" s="70" t="n">
        <x:f>IF(D97=0,"",100*I97/D97)</x:f>
        <x:v>93.75</x:v>
      </x:c>
      <x:c r="K97" s="72" t="n">
        <x:v>458.30002</x:v>
      </x:c>
      <x:c r="L97" s="72" t="n">
        <x:v>2.224379</x:v>
      </x:c>
      <x:c r="M97" s="72" t="n">
        <x:f>L97-K97</x:f>
        <x:v>-456.075641</x:v>
      </x:c>
      <x:c r="N97" s="72" t="n">
        <x:f>ABS(M97)</x:f>
        <x:v>456.075641</x:v>
      </x:c>
      <x:c r="O97" s="68" t="n">
        <x:f>G97-D97</x:f>
        <x:v>-15</x:v>
      </x:c>
    </x:row>
    <x:row r="98" ht="22" customHeight="1">
      <x:c r="A98" s="68" t="str">
        <x:v>DOWN</x:v>
      </x:c>
      <x:c r="B98" s="68" t="str">
        <x:v>2026-02-19</x:v>
      </x:c>
      <x:c r="C98" s="68" t="str">
        <x:v>안성휴게소</x:v>
      </x:c>
      <x:c r="D98" s="68" t="n">
        <x:v>30</x:v>
      </x:c>
      <x:c r="E98" s="68" t="n">
        <x:v>5</x:v>
      </x:c>
      <x:c r="F98" s="68" t="n">
        <x:v>127</x:v>
      </x:c>
      <x:c r="G98" s="68" t="n">
        <x:v>132</x:v>
      </x:c>
      <x:c r="H98" s="68" t="n">
        <x:f>E98-D98</x:f>
        <x:v>-25</x:v>
      </x:c>
      <x:c r="I98" s="68" t="n">
        <x:f>ABS(H98)</x:f>
        <x:v>25</x:v>
      </x:c>
      <x:c r="J98" s="70" t="n">
        <x:f>IF(D98=0,"",100*I98/D98)</x:f>
        <x:v>83.33333333333333</x:v>
      </x:c>
      <x:c r="K98" s="72" t="n">
        <x:v>956.99999</x:v>
      </x:c>
      <x:c r="L98" s="72" t="n">
        <x:v>42.611365</x:v>
      </x:c>
      <x:c r="M98" s="72" t="n">
        <x:f>L98-K98</x:f>
        <x:v>-914.388625</x:v>
      </x:c>
      <x:c r="N98" s="72" t="n">
        <x:f>ABS(M98)</x:f>
        <x:v>914.388625</x:v>
      </x:c>
      <x:c r="O98" s="68" t="n">
        <x:f>G98-D98</x:f>
        <x:v>102</x:v>
      </x:c>
    </x:row>
    <x:row r="99" ht="22" customHeight="1">
      <x:c r="A99" s="68" t="str">
        <x:v>DOWN</x:v>
      </x:c>
      <x:c r="B99" s="68" t="str">
        <x:v>2026-02-19</x:v>
      </x:c>
      <x:c r="C99" s="68" t="str">
        <x:v>옥산휴게소</x:v>
      </x:c>
      <x:c r="D99" s="68" t="n">
        <x:v>27</x:v>
      </x:c>
      <x:c r="E99" s="68" t="n">
        <x:v>53</x:v>
      </x:c>
      <x:c r="F99" s="68" t="n">
        <x:v>10</x:v>
      </x:c>
      <x:c r="G99" s="68" t="n">
        <x:v>63</x:v>
      </x:c>
      <x:c r="H99" s="68" t="n">
        <x:f>E99-D99</x:f>
        <x:v>26</x:v>
      </x:c>
      <x:c r="I99" s="68" t="n">
        <x:f>ABS(H99)</x:f>
        <x:v>26</x:v>
      </x:c>
      <x:c r="J99" s="70" t="n">
        <x:f>IF(D99=0,"",100*I99/D99)</x:f>
        <x:v>96.29629629629629</x:v>
      </x:c>
      <x:c r="K99" s="72" t="n">
        <x:v>752.11667</x:v>
      </x:c>
      <x:c r="L99" s="72" t="n">
        <x:v>911.456082</x:v>
      </x:c>
      <x:c r="M99" s="72" t="n">
        <x:f>L99-K99</x:f>
        <x:v>159.33941200000004</x:v>
      </x:c>
      <x:c r="N99" s="72" t="n">
        <x:f>ABS(M99)</x:f>
        <x:v>159.33941200000004</x:v>
      </x:c>
      <x:c r="O99" s="68" t="n">
        <x:f>G99-D99</x:f>
        <x:v>36</x:v>
      </x:c>
    </x:row>
    <x:row r="100" ht="22" customHeight="1">
      <x:c r="A100" s="68" t="str">
        <x:v>DOWN</x:v>
      </x:c>
      <x:c r="B100" s="68" t="str">
        <x:v>2026-02-19</x:v>
      </x:c>
      <x:c r="C100" s="68" t="str">
        <x:v>옥천만남휴게소</x:v>
      </x:c>
      <x:c r="D100" s="68" t="n">
        <x:v>1</x:v>
      </x:c>
      <x:c r="E100" s="68" t="n">
        <x:v>0</x:v>
      </x:c>
      <x:c r="F100" s="68" t="n">
        <x:v>0</x:v>
      </x:c>
      <x:c r="G100" s="68" t="n">
        <x:v>0</x:v>
      </x:c>
      <x:c r="H100" s="68" t="n">
        <x:f>E100-D100</x:f>
        <x:v>-1</x:v>
      </x:c>
      <x:c r="I100" s="68" t="n">
        <x:f>ABS(H100)</x:f>
        <x:v>1</x:v>
      </x:c>
      <x:c r="J100" s="70" t="n">
        <x:f>IF(D100=0,"",100*I100/D100)</x:f>
        <x:v>100</x:v>
      </x:c>
      <x:c r="K100" s="72" t="n">
        <x:v>43.08333</x:v>
      </x:c>
      <x:c r="L100" s="72" t="n">
        <x:v>0</x:v>
      </x:c>
      <x:c r="M100" s="72" t="n">
        <x:f>L100-K100</x:f>
        <x:v>-43.08333</x:v>
      </x:c>
      <x:c r="N100" s="72" t="n">
        <x:f>ABS(M100)</x:f>
        <x:v>43.08333</x:v>
      </x:c>
      <x:c r="O100" s="68" t="n">
        <x:f>G100-D100</x:f>
        <x:v>-1</x:v>
      </x:c>
    </x:row>
    <x:row r="101" ht="22" customHeight="1">
      <x:c r="A101" s="68" t="str">
        <x:v>DOWN</x:v>
      </x:c>
      <x:c r="B101" s="68" t="str">
        <x:v>2026-02-19</x:v>
      </x:c>
      <x:c r="C101" s="68" t="str">
        <x:v>옥천휴게소</x:v>
      </x:c>
      <x:c r="D101" s="68" t="n">
        <x:v>6</x:v>
      </x:c>
      <x:c r="E101" s="68" t="n">
        <x:v>0</x:v>
      </x:c>
      <x:c r="F101" s="68" t="n">
        <x:v>144</x:v>
      </x:c>
      <x:c r="G101" s="68" t="n">
        <x:v>144</x:v>
      </x:c>
      <x:c r="H101" s="68" t="n">
        <x:f>E101-D101</x:f>
        <x:v>-6</x:v>
      </x:c>
      <x:c r="I101" s="68" t="n">
        <x:f>ABS(H101)</x:f>
        <x:v>6</x:v>
      </x:c>
      <x:c r="J101" s="70" t="n">
        <x:f>IF(D101=0,"",100*I101/D101)</x:f>
        <x:v>100</x:v>
      </x:c>
      <x:c r="K101" s="72" t="n">
        <x:v>137.14999</x:v>
      </x:c>
      <x:c r="L101" s="72" t="n">
        <x:v>0</x:v>
      </x:c>
      <x:c r="M101" s="72" t="n">
        <x:f>L101-K101</x:f>
        <x:v>-137.14999</x:v>
      </x:c>
      <x:c r="N101" s="72" t="n">
        <x:f>ABS(M101)</x:f>
        <x:v>137.14999</x:v>
      </x:c>
      <x:c r="O101" s="68" t="n">
        <x:f>G101-D101</x:f>
        <x:v>138</x:v>
      </x:c>
    </x:row>
    <x:row r="102" ht="22" customHeight="1">
      <x:c r="A102" s="68" t="str">
        <x:v>DOWN</x:v>
      </x:c>
      <x:c r="B102" s="68" t="str">
        <x:v>2026-02-19</x:v>
      </x:c>
      <x:c r="C102" s="68" t="str">
        <x:v>천안호두휴게소</x:v>
      </x:c>
      <x:c r="D102" s="68" t="n">
        <x:v>40</x:v>
      </x:c>
      <x:c r="E102" s="68" t="n">
        <x:v>0</x:v>
      </x:c>
      <x:c r="F102" s="68" t="n">
        <x:v>28</x:v>
      </x:c>
      <x:c r="G102" s="68" t="n">
        <x:v>28</x:v>
      </x:c>
      <x:c r="H102" s="68" t="n">
        <x:f>E102-D102</x:f>
        <x:v>-40</x:v>
      </x:c>
      <x:c r="I102" s="68" t="n">
        <x:f>ABS(H102)</x:f>
        <x:v>40</x:v>
      </x:c>
      <x:c r="J102" s="70" t="n">
        <x:f>IF(D102=0,"",100*I102/D102)</x:f>
        <x:v>100</x:v>
      </x:c>
      <x:c r="K102" s="72" t="n">
        <x:v>1174.43335</x:v>
      </x:c>
      <x:c r="L102" s="72" t="n">
        <x:v>0</x:v>
      </x:c>
      <x:c r="M102" s="72" t="n">
        <x:f>L102-K102</x:f>
        <x:v>-1174.43335</x:v>
      </x:c>
      <x:c r="N102" s="72" t="n">
        <x:f>ABS(M102)</x:f>
        <x:v>1174.43335</x:v>
      </x:c>
      <x:c r="O102" s="68" t="n">
        <x:f>G102-D102</x:f>
        <x:v>-12</x:v>
      </x:c>
    </x:row>
    <x:row r="103" ht="22" customHeight="1">
      <x:c r="A103" s="68" t="str">
        <x:v>DOWN</x:v>
      </x:c>
      <x:c r="B103" s="68" t="str">
        <x:v>2026-02-19</x:v>
      </x:c>
      <x:c r="C103" s="68" t="str">
        <x:v>추풍령휴게소</x:v>
      </x:c>
      <x:c r="D103" s="68" t="n">
        <x:v>12</x:v>
      </x:c>
      <x:c r="E103" s="68" t="n">
        <x:v>61</x:v>
      </x:c>
      <x:c r="F103" s="68" t="n">
        <x:v>12</x:v>
      </x:c>
      <x:c r="G103" s="68" t="n">
        <x:v>73</x:v>
      </x:c>
      <x:c r="H103" s="68" t="n">
        <x:f>E103-D103</x:f>
        <x:v>49</x:v>
      </x:c>
      <x:c r="I103" s="68" t="n">
        <x:f>ABS(H103)</x:f>
        <x:v>49</x:v>
      </x:c>
      <x:c r="J103" s="70" t="n">
        <x:f>IF(D103=0,"",100*I103/D103)</x:f>
        <x:v>408.3333333333333</x:v>
      </x:c>
      <x:c r="K103" s="72" t="n">
        <x:v>330.76667</x:v>
      </x:c>
      <x:c r="L103" s="72" t="n">
        <x:v>952.94459</x:v>
      </x:c>
      <x:c r="M103" s="72" t="n">
        <x:f>L103-K103</x:f>
        <x:v>622.17792</x:v>
      </x:c>
      <x:c r="N103" s="72" t="n">
        <x:f>ABS(M103)</x:f>
        <x:v>622.17792</x:v>
      </x:c>
      <x:c r="O103" s="68" t="n">
        <x:f>G103-D103</x:f>
        <x:v>61</x:v>
      </x:c>
    </x:row>
    <x:row r="104" ht="22" customHeight="1">
      <x:c r="A104" s="68" t="str">
        <x:v>DOWN</x:v>
      </x:c>
      <x:c r="B104" s="68" t="str">
        <x:v>2026-02-19</x:v>
      </x:c>
      <x:c r="C104" s="68" t="str">
        <x:v>칠곡휴게소</x:v>
      </x:c>
      <x:c r="D104" s="68" t="n">
        <x:v>57</x:v>
      </x:c>
      <x:c r="E104" s="68" t="n">
        <x:v>1</x:v>
      </x:c>
      <x:c r="F104" s="68" t="n">
        <x:v>207</x:v>
      </x:c>
      <x:c r="G104" s="68" t="n">
        <x:v>208</x:v>
      </x:c>
      <x:c r="H104" s="68" t="n">
        <x:f>E104-D104</x:f>
        <x:v>-56</x:v>
      </x:c>
      <x:c r="I104" s="68" t="n">
        <x:f>ABS(H104)</x:f>
        <x:v>56</x:v>
      </x:c>
      <x:c r="J104" s="70" t="n">
        <x:f>IF(D104=0,"",100*I104/D104)</x:f>
        <x:v>98.24561403508773</x:v>
      </x:c>
      <x:c r="K104" s="72" t="n">
        <x:v>1966.41668</x:v>
      </x:c>
      <x:c r="L104" s="72" t="n">
        <x:v>2.066922</x:v>
      </x:c>
      <x:c r="M104" s="72" t="n">
        <x:f>L104-K104</x:f>
        <x:v>-1964.349758</x:v>
      </x:c>
      <x:c r="N104" s="72" t="n">
        <x:f>ABS(M104)</x:f>
        <x:v>1964.349758</x:v>
      </x:c>
      <x:c r="O104" s="68" t="n">
        <x:f>G104-D104</x:f>
        <x:v>151</x:v>
      </x:c>
    </x:row>
    <x:row r="105" ht="22" customHeight="1">
      <x:c r="A105" s="68" t="str">
        <x:v>DOWN</x:v>
      </x:c>
      <x:c r="B105" s="68" t="str">
        <x:v>2026-02-19</x:v>
      </x:c>
      <x:c r="C105" s="68" t="str">
        <x:v>통도사휴게소</x:v>
      </x:c>
      <x:c r="D105" s="68" t="n">
        <x:v>12</x:v>
      </x:c>
      <x:c r="E105" s="68" t="n">
        <x:v>0</x:v>
      </x:c>
      <x:c r="F105" s="68" t="n">
        <x:v>3</x:v>
      </x:c>
      <x:c r="G105" s="68" t="n">
        <x:v>3</x:v>
      </x:c>
      <x:c r="H105" s="68" t="n">
        <x:f>E105-D105</x:f>
        <x:v>-12</x:v>
      </x:c>
      <x:c r="I105" s="68" t="n">
        <x:f>ABS(H105)</x:f>
        <x:v>12</x:v>
      </x:c>
      <x:c r="J105" s="70" t="n">
        <x:f>IF(D105=0,"",100*I105/D105)</x:f>
        <x:v>100</x:v>
      </x:c>
      <x:c r="K105" s="72" t="n">
        <x:v>307.53333</x:v>
      </x:c>
      <x:c r="L105" s="72" t="n">
        <x:v>0</x:v>
      </x:c>
      <x:c r="M105" s="72" t="n">
        <x:f>L105-K105</x:f>
        <x:v>-307.53333</x:v>
      </x:c>
      <x:c r="N105" s="72" t="n">
        <x:f>ABS(M105)</x:f>
        <x:v>307.53333</x:v>
      </x:c>
      <x:c r="O105" s="68" t="n">
        <x:f>G105-D105</x:f>
        <x:v>-9</x:v>
      </x:c>
    </x:row>
    <x:row r="106" ht="22" customHeight="1">
      <x:c r="A106" s="68" t="str">
        <x:v>DOWN</x:v>
      </x:c>
      <x:c r="B106" s="68" t="str">
        <x:v>2026-02-19</x:v>
      </x:c>
      <x:c r="C106" s="68" t="str">
        <x:v>평사휴게소</x:v>
      </x:c>
      <x:c r="D106" s="68" t="n">
        <x:v>41</x:v>
      </x:c>
      <x:c r="E106" s="68" t="n">
        <x:v>136</x:v>
      </x:c>
      <x:c r="F106" s="68" t="n">
        <x:v>0</x:v>
      </x:c>
      <x:c r="G106" s="68" t="n">
        <x:v>136</x:v>
      </x:c>
      <x:c r="H106" s="68" t="n">
        <x:f>E106-D106</x:f>
        <x:v>95</x:v>
      </x:c>
      <x:c r="I106" s="68" t="n">
        <x:f>ABS(H106)</x:f>
        <x:v>95</x:v>
      </x:c>
      <x:c r="J106" s="70" t="n">
        <x:f>IF(D106=0,"",100*I106/D106)</x:f>
        <x:v>231.70731707317074</x:v>
      </x:c>
      <x:c r="K106" s="72" t="n">
        <x:v>1044.34999</x:v>
      </x:c>
      <x:c r="L106" s="72" t="n">
        <x:v>1170.127101</x:v>
      </x:c>
      <x:c r="M106" s="72" t="n">
        <x:f>L106-K106</x:f>
        <x:v>125.7771110000001</x:v>
      </x:c>
      <x:c r="N106" s="72" t="n">
        <x:f>ABS(M106)</x:f>
        <x:v>125.7771110000001</x:v>
      </x:c>
      <x:c r="O106" s="68" t="n">
        <x:f>G106-D106</x:f>
        <x:v>95</x:v>
      </x:c>
    </x:row>
    <x:row r="107" ht="22" customHeight="1">
      <x:c r="A107" s="68" t="str">
        <x:v>DOWN</x:v>
      </x:c>
      <x:c r="B107" s="68" t="str">
        <x:v>2026-02-20</x:v>
      </x:c>
      <x:c r="C107" s="68" t="str">
        <x:v>건천휴게소</x:v>
      </x:c>
      <x:c r="D107" s="68" t="n">
        <x:v>63</x:v>
      </x:c>
      <x:c r="E107" s="68" t="n">
        <x:v>51</x:v>
      </x:c>
      <x:c r="F107" s="68" t="n">
        <x:v>0</x:v>
      </x:c>
      <x:c r="G107" s="68" t="n">
        <x:v>51</x:v>
      </x:c>
      <x:c r="H107" s="68" t="n">
        <x:f>E107-D107</x:f>
        <x:v>-12</x:v>
      </x:c>
      <x:c r="I107" s="68" t="n">
        <x:f>ABS(H107)</x:f>
        <x:v>12</x:v>
      </x:c>
      <x:c r="J107" s="70" t="n">
        <x:f>IF(D107=0,"",100*I107/D107)</x:f>
        <x:v>19.047619047619047</x:v>
      </x:c>
      <x:c r="K107" s="72" t="n">
        <x:v>1667.91666</x:v>
      </x:c>
      <x:c r="L107" s="72" t="n">
        <x:v>506.505846</x:v>
      </x:c>
      <x:c r="M107" s="72" t="n">
        <x:f>L107-K107</x:f>
        <x:v>-1161.410814</x:v>
      </x:c>
      <x:c r="N107" s="72" t="n">
        <x:f>ABS(M107)</x:f>
        <x:v>1161.410814</x:v>
      </x:c>
      <x:c r="O107" s="68" t="n">
        <x:f>G107-D107</x:f>
        <x:v>-12</x:v>
      </x:c>
    </x:row>
    <x:row r="108" ht="22" customHeight="1">
      <x:c r="A108" s="68" t="str">
        <x:v>DOWN</x:v>
      </x:c>
      <x:c r="B108" s="68" t="str">
        <x:v>2026-02-20</x:v>
      </x:c>
      <x:c r="C108" s="68" t="str">
        <x:v>금강휴게소</x:v>
      </x:c>
      <x:c r="D108" s="68" t="n">
        <x:v>21</x:v>
      </x:c>
      <x:c r="E108" s="68" t="n">
        <x:v>0</x:v>
      </x:c>
      <x:c r="F108" s="68" t="n">
        <x:v>0</x:v>
      </x:c>
      <x:c r="G108" s="68" t="n">
        <x:v>0</x:v>
      </x:c>
      <x:c r="H108" s="68" t="n">
        <x:f>E108-D108</x:f>
        <x:v>-21</x:v>
      </x:c>
      <x:c r="I108" s="68" t="n">
        <x:f>ABS(H108)</x:f>
        <x:v>21</x:v>
      </x:c>
      <x:c r="J108" s="70" t="n">
        <x:f>IF(D108=0,"",100*I108/D108)</x:f>
        <x:v>100</x:v>
      </x:c>
      <x:c r="K108" s="72" t="n">
        <x:v>560.18333</x:v>
      </x:c>
      <x:c r="L108" s="72" t="n">
        <x:v>0</x:v>
      </x:c>
      <x:c r="M108" s="72" t="n">
        <x:f>L108-K108</x:f>
        <x:v>-560.18333</x:v>
      </x:c>
      <x:c r="N108" s="72" t="n">
        <x:f>ABS(M108)</x:f>
        <x:v>560.18333</x:v>
      </x:c>
      <x:c r="O108" s="68" t="n">
        <x:f>G108-D108</x:f>
        <x:v>-21</x:v>
      </x:c>
    </x:row>
    <x:row r="109" ht="22" customHeight="1">
      <x:c r="A109" s="68" t="str">
        <x:v>DOWN</x:v>
      </x:c>
      <x:c r="B109" s="68" t="str">
        <x:v>2026-02-20</x:v>
      </x:c>
      <x:c r="C109" s="68" t="str">
        <x:v>기흥휴게소</x:v>
      </x:c>
      <x:c r="D109" s="68" t="n">
        <x:v>11</x:v>
      </x:c>
      <x:c r="E109" s="68" t="n">
        <x:v>0</x:v>
      </x:c>
      <x:c r="F109" s="68" t="n">
        <x:v>118</x:v>
      </x:c>
      <x:c r="G109" s="68" t="n">
        <x:v>118</x:v>
      </x:c>
      <x:c r="H109" s="68" t="n">
        <x:f>E109-D109</x:f>
        <x:v>-11</x:v>
      </x:c>
      <x:c r="I109" s="68" t="n">
        <x:f>ABS(H109)</x:f>
        <x:v>11</x:v>
      </x:c>
      <x:c r="J109" s="70" t="n">
        <x:f>IF(D109=0,"",100*I109/D109)</x:f>
        <x:v>100</x:v>
      </x:c>
      <x:c r="K109" s="72" t="n">
        <x:v>365.99999</x:v>
      </x:c>
      <x:c r="L109" s="72" t="n">
        <x:v>0</x:v>
      </x:c>
      <x:c r="M109" s="72" t="n">
        <x:f>L109-K109</x:f>
        <x:v>-365.99999</x:v>
      </x:c>
      <x:c r="N109" s="72" t="n">
        <x:f>ABS(M109)</x:f>
        <x:v>365.99999</x:v>
      </x:c>
      <x:c r="O109" s="68" t="n">
        <x:f>G109-D109</x:f>
        <x:v>107</x:v>
      </x:c>
    </x:row>
    <x:row r="110" ht="22" customHeight="1">
      <x:c r="A110" s="68" t="str">
        <x:v>DOWN</x:v>
      </x:c>
      <x:c r="B110" s="68" t="str">
        <x:v>2026-02-20</x:v>
      </x:c>
      <x:c r="C110" s="68" t="str">
        <x:v>김천휴게소</x:v>
      </x:c>
      <x:c r="D110" s="68" t="n">
        <x:v>31</x:v>
      </x:c>
      <x:c r="E110" s="68" t="n">
        <x:v>30</x:v>
      </x:c>
      <x:c r="F110" s="68" t="n">
        <x:v>0</x:v>
      </x:c>
      <x:c r="G110" s="68" t="n">
        <x:v>30</x:v>
      </x:c>
      <x:c r="H110" s="68" t="n">
        <x:f>E110-D110</x:f>
        <x:v>-1</x:v>
      </x:c>
      <x:c r="I110" s="68" t="n">
        <x:f>ABS(H110)</x:f>
        <x:v>1</x:v>
      </x:c>
      <x:c r="J110" s="70" t="n">
        <x:f>IF(D110=0,"",100*I110/D110)</x:f>
        <x:v>3.225806451612903</x:v>
      </x:c>
      <x:c r="K110" s="72" t="n">
        <x:v>854.86668</x:v>
      </x:c>
      <x:c r="L110" s="72" t="n">
        <x:v>548.506318</x:v>
      </x:c>
      <x:c r="M110" s="72" t="n">
        <x:f>L110-K110</x:f>
        <x:v>-306.360362</x:v>
      </x:c>
      <x:c r="N110" s="72" t="n">
        <x:f>ABS(M110)</x:f>
        <x:v>306.360362</x:v>
      </x:c>
      <x:c r="O110" s="68" t="n">
        <x:f>G110-D110</x:f>
        <x:v>-1</x:v>
      </x:c>
    </x:row>
    <x:row r="111" ht="22" customHeight="1">
      <x:c r="A111" s="68" t="str">
        <x:v>DOWN</x:v>
      </x:c>
      <x:c r="B111" s="68" t="str">
        <x:v>2026-02-20</x:v>
      </x:c>
      <x:c r="C111" s="68" t="str">
        <x:v>서울만남휴게소</x:v>
      </x:c>
      <x:c r="D111" s="68" t="n">
        <x:v>11</x:v>
      </x:c>
      <x:c r="E111" s="68" t="n">
        <x:v>4</x:v>
      </x:c>
      <x:c r="F111" s="68" t="n">
        <x:v>221</x:v>
      </x:c>
      <x:c r="G111" s="68" t="n">
        <x:v>225</x:v>
      </x:c>
      <x:c r="H111" s="68" t="n">
        <x:f>E111-D111</x:f>
        <x:v>-7</x:v>
      </x:c>
      <x:c r="I111" s="68" t="n">
        <x:f>ABS(H111)</x:f>
        <x:v>7</x:v>
      </x:c>
      <x:c r="J111" s="70" t="n">
        <x:f>IF(D111=0,"",100*I111/D111)</x:f>
        <x:v>63.63636363636363</x:v>
      </x:c>
      <x:c r="K111" s="72" t="n">
        <x:v>358.50001</x:v>
      </x:c>
      <x:c r="L111" s="72" t="n">
        <x:v>5.173151</x:v>
      </x:c>
      <x:c r="M111" s="72" t="n">
        <x:f>L111-K111</x:f>
        <x:v>-353.32685899999996</x:v>
      </x:c>
      <x:c r="N111" s="72" t="n">
        <x:f>ABS(M111)</x:f>
        <x:v>353.32685899999996</x:v>
      </x:c>
      <x:c r="O111" s="68" t="n">
        <x:f>G111-D111</x:f>
        <x:v>214</x:v>
      </x:c>
    </x:row>
    <x:row r="112" ht="22" customHeight="1">
      <x:c r="A112" s="68" t="str">
        <x:v>DOWN</x:v>
      </x:c>
      <x:c r="B112" s="68" t="str">
        <x:v>2026-02-20</x:v>
      </x:c>
      <x:c r="C112" s="68" t="str">
        <x:v>서울하이패스센터쉼터</x:v>
      </x:c>
      <x:c r="D112" s="68" t="n">
        <x:v>21</x:v>
      </x:c>
      <x:c r="E112" s="68" t="n">
        <x:v>1</x:v>
      </x:c>
      <x:c r="F112" s="68" t="n">
        <x:v>0</x:v>
      </x:c>
      <x:c r="G112" s="68" t="n">
        <x:v>1</x:v>
      </x:c>
      <x:c r="H112" s="68" t="n">
        <x:f>E112-D112</x:f>
        <x:v>-20</x:v>
      </x:c>
      <x:c r="I112" s="68" t="n">
        <x:f>ABS(H112)</x:f>
        <x:v>20</x:v>
      </x:c>
      <x:c r="J112" s="70" t="n">
        <x:f>IF(D112=0,"",100*I112/D112)</x:f>
        <x:v>95.23809523809524</x:v>
      </x:c>
      <x:c r="K112" s="72" t="n">
        <x:v>535.36665</x:v>
      </x:c>
      <x:c r="L112" s="72" t="n">
        <x:v>4.194763</x:v>
      </x:c>
      <x:c r="M112" s="72" t="n">
        <x:f>L112-K112</x:f>
        <x:v>-531.1718870000001</x:v>
      </x:c>
      <x:c r="N112" s="72" t="n">
        <x:f>ABS(M112)</x:f>
        <x:v>531.1718870000001</x:v>
      </x:c>
      <x:c r="O112" s="68" t="n">
        <x:f>G112-D112</x:f>
        <x:v>-20</x:v>
      </x:c>
    </x:row>
    <x:row r="113" ht="22" customHeight="1">
      <x:c r="A113" s="68" t="str">
        <x:v>DOWN</x:v>
      </x:c>
      <x:c r="B113" s="68" t="str">
        <x:v>2026-02-20</x:v>
      </x:c>
      <x:c r="C113" s="68" t="str">
        <x:v>안성휴게소</x:v>
      </x:c>
      <x:c r="D113" s="68" t="n">
        <x:v>44</x:v>
      </x:c>
      <x:c r="E113" s="68" t="n">
        <x:v>5</x:v>
      </x:c>
      <x:c r="F113" s="68" t="n">
        <x:v>147</x:v>
      </x:c>
      <x:c r="G113" s="68" t="n">
        <x:v>152</x:v>
      </x:c>
      <x:c r="H113" s="68" t="n">
        <x:f>E113-D113</x:f>
        <x:v>-39</x:v>
      </x:c>
      <x:c r="I113" s="68" t="n">
        <x:f>ABS(H113)</x:f>
        <x:v>39</x:v>
      </x:c>
      <x:c r="J113" s="70" t="n">
        <x:f>IF(D113=0,"",100*I113/D113)</x:f>
        <x:v>88.63636363636364</x:v>
      </x:c>
      <x:c r="K113" s="72" t="n">
        <x:v>1129.45</x:v>
      </x:c>
      <x:c r="L113" s="72" t="n">
        <x:v>26.593104</x:v>
      </x:c>
      <x:c r="M113" s="72" t="n">
        <x:f>L113-K113</x:f>
        <x:v>-1102.856896</x:v>
      </x:c>
      <x:c r="N113" s="72" t="n">
        <x:f>ABS(M113)</x:f>
        <x:v>1102.856896</x:v>
      </x:c>
      <x:c r="O113" s="68" t="n">
        <x:f>G113-D113</x:f>
        <x:v>108</x:v>
      </x:c>
    </x:row>
    <x:row r="114" ht="22" customHeight="1">
      <x:c r="A114" s="68" t="str">
        <x:v>DOWN</x:v>
      </x:c>
      <x:c r="B114" s="68" t="str">
        <x:v>2026-02-20</x:v>
      </x:c>
      <x:c r="C114" s="68" t="str">
        <x:v>옥산휴게소</x:v>
      </x:c>
      <x:c r="D114" s="68" t="n">
        <x:v>33</x:v>
      </x:c>
      <x:c r="E114" s="68" t="n">
        <x:v>39</x:v>
      </x:c>
      <x:c r="F114" s="68" t="n">
        <x:v>2</x:v>
      </x:c>
      <x:c r="G114" s="68" t="n">
        <x:v>41</x:v>
      </x:c>
      <x:c r="H114" s="68" t="n">
        <x:f>E114-D114</x:f>
        <x:v>6</x:v>
      </x:c>
      <x:c r="I114" s="68" t="n">
        <x:f>ABS(H114)</x:f>
        <x:v>6</x:v>
      </x:c>
      <x:c r="J114" s="70" t="n">
        <x:f>IF(D114=0,"",100*I114/D114)</x:f>
        <x:v>18.181818181818183</x:v>
      </x:c>
      <x:c r="K114" s="72" t="n">
        <x:v>988.15</x:v>
      </x:c>
      <x:c r="L114" s="72" t="n">
        <x:v>606.070949</x:v>
      </x:c>
      <x:c r="M114" s="72" t="n">
        <x:f>L114-K114</x:f>
        <x:v>-382.07905099999994</x:v>
      </x:c>
      <x:c r="N114" s="72" t="n">
        <x:f>ABS(M114)</x:f>
        <x:v>382.07905099999994</x:v>
      </x:c>
      <x:c r="O114" s="68" t="n">
        <x:f>G114-D114</x:f>
        <x:v>8</x:v>
      </x:c>
    </x:row>
    <x:row r="115" ht="22" customHeight="1">
      <x:c r="A115" s="68" t="str">
        <x:v>DOWN</x:v>
      </x:c>
      <x:c r="B115" s="68" t="str">
        <x:v>2026-02-20</x:v>
      </x:c>
      <x:c r="C115" s="68" t="str">
        <x:v>옥천만남휴게소</x:v>
      </x:c>
      <x:c r="D115" s="68" t="n">
        <x:v>0</x:v>
      </x:c>
      <x:c r="E115" s="68" t="n">
        <x:v>0</x:v>
      </x:c>
      <x:c r="F115" s="68" t="n">
        <x:v>0</x:v>
      </x:c>
      <x:c r="G115" s="68" t="n">
        <x:v>0</x:v>
      </x:c>
      <x:c r="H115" s="68" t="n">
        <x:f>E115-D115</x:f>
        <x:v>0</x:v>
      </x:c>
      <x:c r="I115" s="68" t="n">
        <x:f>ABS(H115)</x:f>
        <x:v>0</x:v>
      </x:c>
      <x:c r="J115" s="70" t="str">
        <x:f>IF(D115=0,"",100*I115/D115)</x:f>
      </x:c>
      <x:c r="K115" s="72" t="n">
        <x:v>0</x:v>
      </x:c>
      <x:c r="L115" s="72" t="n">
        <x:v>0</x:v>
      </x:c>
      <x:c r="M115" s="72" t="n">
        <x:f>L115-K115</x:f>
        <x:v>0</x:v>
      </x:c>
      <x:c r="N115" s="72" t="n">
        <x:f>ABS(M115)</x:f>
        <x:v>0</x:v>
      </x:c>
      <x:c r="O115" s="68" t="n">
        <x:f>G115-D115</x:f>
        <x:v>0</x:v>
      </x:c>
    </x:row>
    <x:row r="116" ht="22" customHeight="1">
      <x:c r="A116" s="68" t="str">
        <x:v>DOWN</x:v>
      </x:c>
      <x:c r="B116" s="68" t="str">
        <x:v>2026-02-20</x:v>
      </x:c>
      <x:c r="C116" s="68" t="str">
        <x:v>옥천휴게소</x:v>
      </x:c>
      <x:c r="D116" s="68" t="n">
        <x:v>4</x:v>
      </x:c>
      <x:c r="E116" s="68" t="n">
        <x:v>2</x:v>
      </x:c>
      <x:c r="F116" s="68" t="n">
        <x:v>161</x:v>
      </x:c>
      <x:c r="G116" s="68" t="n">
        <x:v>163</x:v>
      </x:c>
      <x:c r="H116" s="68" t="n">
        <x:f>E116-D116</x:f>
        <x:v>-2</x:v>
      </x:c>
      <x:c r="I116" s="68" t="n">
        <x:f>ABS(H116)</x:f>
        <x:v>2</x:v>
      </x:c>
      <x:c r="J116" s="70" t="n">
        <x:f>IF(D116=0,"",100*I116/D116)</x:f>
        <x:v>50</x:v>
      </x:c>
      <x:c r="K116" s="72" t="n">
        <x:v>113.23334</x:v>
      </x:c>
      <x:c r="L116" s="72" t="n">
        <x:v>19.201485</x:v>
      </x:c>
      <x:c r="M116" s="72" t="n">
        <x:f>L116-K116</x:f>
        <x:v>-94.031855</x:v>
      </x:c>
      <x:c r="N116" s="72" t="n">
        <x:f>ABS(M116)</x:f>
        <x:v>94.031855</x:v>
      </x:c>
      <x:c r="O116" s="68" t="n">
        <x:f>G116-D116</x:f>
        <x:v>159</x:v>
      </x:c>
    </x:row>
    <x:row r="117" ht="22" customHeight="1">
      <x:c r="A117" s="68" t="str">
        <x:v>DOWN</x:v>
      </x:c>
      <x:c r="B117" s="68" t="str">
        <x:v>2026-02-20</x:v>
      </x:c>
      <x:c r="C117" s="68" t="str">
        <x:v>천안호두휴게소</x:v>
      </x:c>
      <x:c r="D117" s="68" t="n">
        <x:v>36</x:v>
      </x:c>
      <x:c r="E117" s="68" t="n">
        <x:v>1</x:v>
      </x:c>
      <x:c r="F117" s="68" t="n">
        <x:v>26</x:v>
      </x:c>
      <x:c r="G117" s="68" t="n">
        <x:v>27</x:v>
      </x:c>
      <x:c r="H117" s="68" t="n">
        <x:f>E117-D117</x:f>
        <x:v>-35</x:v>
      </x:c>
      <x:c r="I117" s="68" t="n">
        <x:f>ABS(H117)</x:f>
        <x:v>35</x:v>
      </x:c>
      <x:c r="J117" s="70" t="n">
        <x:f>IF(D117=0,"",100*I117/D117)</x:f>
        <x:v>97.22222222222223</x:v>
      </x:c>
      <x:c r="K117" s="72" t="n">
        <x:v>918.73333</x:v>
      </x:c>
      <x:c r="L117" s="72" t="n">
        <x:v>15.598504</x:v>
      </x:c>
      <x:c r="M117" s="72" t="n">
        <x:f>L117-K117</x:f>
        <x:v>-903.134826</x:v>
      </x:c>
      <x:c r="N117" s="72" t="n">
        <x:f>ABS(M117)</x:f>
        <x:v>903.134826</x:v>
      </x:c>
      <x:c r="O117" s="68" t="n">
        <x:f>G117-D117</x:f>
        <x:v>-9</x:v>
      </x:c>
    </x:row>
    <x:row r="118" ht="22" customHeight="1">
      <x:c r="A118" s="68" t="str">
        <x:v>DOWN</x:v>
      </x:c>
      <x:c r="B118" s="68" t="str">
        <x:v>2026-02-20</x:v>
      </x:c>
      <x:c r="C118" s="68" t="str">
        <x:v>추풍령휴게소</x:v>
      </x:c>
      <x:c r="D118" s="68" t="n">
        <x:v>16</x:v>
      </x:c>
      <x:c r="E118" s="68" t="n">
        <x:v>64</x:v>
      </x:c>
      <x:c r="F118" s="68" t="n">
        <x:v>15</x:v>
      </x:c>
      <x:c r="G118" s="68" t="n">
        <x:v>79</x:v>
      </x:c>
      <x:c r="H118" s="68" t="n">
        <x:f>E118-D118</x:f>
        <x:v>48</x:v>
      </x:c>
      <x:c r="I118" s="68" t="n">
        <x:f>ABS(H118)</x:f>
        <x:v>48</x:v>
      </x:c>
      <x:c r="J118" s="70" t="n">
        <x:f>IF(D118=0,"",100*I118/D118)</x:f>
        <x:v>300</x:v>
      </x:c>
      <x:c r="K118" s="72" t="n">
        <x:v>395.73332</x:v>
      </x:c>
      <x:c r="L118" s="72" t="n">
        <x:v>970.789908</x:v>
      </x:c>
      <x:c r="M118" s="72" t="n">
        <x:f>L118-K118</x:f>
        <x:v>575.0565879999999</x:v>
      </x:c>
      <x:c r="N118" s="72" t="n">
        <x:f>ABS(M118)</x:f>
        <x:v>575.0565879999999</x:v>
      </x:c>
      <x:c r="O118" s="68" t="n">
        <x:f>G118-D118</x:f>
        <x:v>63</x:v>
      </x:c>
    </x:row>
    <x:row r="119" ht="22" customHeight="1">
      <x:c r="A119" s="68" t="str">
        <x:v>DOWN</x:v>
      </x:c>
      <x:c r="B119" s="68" t="str">
        <x:v>2026-02-20</x:v>
      </x:c>
      <x:c r="C119" s="68" t="str">
        <x:v>칠곡휴게소</x:v>
      </x:c>
      <x:c r="D119" s="68" t="n">
        <x:v>91</x:v>
      </x:c>
      <x:c r="E119" s="68" t="n">
        <x:v>2</x:v>
      </x:c>
      <x:c r="F119" s="68" t="n">
        <x:v>211</x:v>
      </x:c>
      <x:c r="G119" s="68" t="n">
        <x:v>213</x:v>
      </x:c>
      <x:c r="H119" s="68" t="n">
        <x:f>E119-D119</x:f>
        <x:v>-89</x:v>
      </x:c>
      <x:c r="I119" s="68" t="n">
        <x:f>ABS(H119)</x:f>
        <x:v>89</x:v>
      </x:c>
      <x:c r="J119" s="70" t="n">
        <x:f>IF(D119=0,"",100*I119/D119)</x:f>
        <x:v>97.8021978021978</x:v>
      </x:c>
      <x:c r="K119" s="72" t="n">
        <x:v>2680.56667</x:v>
      </x:c>
      <x:c r="L119" s="72" t="n">
        <x:v>8.274786</x:v>
      </x:c>
      <x:c r="M119" s="72" t="n">
        <x:f>L119-K119</x:f>
        <x:v>-2672.291884</x:v>
      </x:c>
      <x:c r="N119" s="72" t="n">
        <x:f>ABS(M119)</x:f>
        <x:v>2672.291884</x:v>
      </x:c>
      <x:c r="O119" s="68" t="n">
        <x:f>G119-D119</x:f>
        <x:v>122</x:v>
      </x:c>
    </x:row>
    <x:row r="120" ht="22" customHeight="1">
      <x:c r="A120" s="68" t="str">
        <x:v>DOWN</x:v>
      </x:c>
      <x:c r="B120" s="68" t="str">
        <x:v>2026-02-20</x:v>
      </x:c>
      <x:c r="C120" s="68" t="str">
        <x:v>통도사휴게소</x:v>
      </x:c>
      <x:c r="D120" s="68" t="n">
        <x:v>22</x:v>
      </x:c>
      <x:c r="E120" s="68" t="n">
        <x:v>0</x:v>
      </x:c>
      <x:c r="F120" s="68" t="n">
        <x:v>5</x:v>
      </x:c>
      <x:c r="G120" s="68" t="n">
        <x:v>5</x:v>
      </x:c>
      <x:c r="H120" s="68" t="n">
        <x:f>E120-D120</x:f>
        <x:v>-22</x:v>
      </x:c>
      <x:c r="I120" s="68" t="n">
        <x:f>ABS(H120)</x:f>
        <x:v>22</x:v>
      </x:c>
      <x:c r="J120" s="70" t="n">
        <x:f>IF(D120=0,"",100*I120/D120)</x:f>
        <x:v>100</x:v>
      </x:c>
      <x:c r="K120" s="72" t="n">
        <x:v>602.31669</x:v>
      </x:c>
      <x:c r="L120" s="72" t="n">
        <x:v>0</x:v>
      </x:c>
      <x:c r="M120" s="72" t="n">
        <x:f>L120-K120</x:f>
        <x:v>-602.31669</x:v>
      </x:c>
      <x:c r="N120" s="72" t="n">
        <x:f>ABS(M120)</x:f>
        <x:v>602.31669</x:v>
      </x:c>
      <x:c r="O120" s="68" t="n">
        <x:f>G120-D120</x:f>
        <x:v>-17</x:v>
      </x:c>
    </x:row>
    <x:row r="121" ht="22" customHeight="1">
      <x:c r="A121" s="68" t="str">
        <x:v>DOWN</x:v>
      </x:c>
      <x:c r="B121" s="68" t="str">
        <x:v>2026-02-20</x:v>
      </x:c>
      <x:c r="C121" s="68" t="str">
        <x:v>평사휴게소</x:v>
      </x:c>
      <x:c r="D121" s="68" t="n">
        <x:v>36</x:v>
      </x:c>
      <x:c r="E121" s="68" t="n">
        <x:v>143</x:v>
      </x:c>
      <x:c r="F121" s="68" t="n">
        <x:v>0</x:v>
      </x:c>
      <x:c r="G121" s="68" t="n">
        <x:v>143</x:v>
      </x:c>
      <x:c r="H121" s="68" t="n">
        <x:f>E121-D121</x:f>
        <x:v>107</x:v>
      </x:c>
      <x:c r="I121" s="68" t="n">
        <x:f>ABS(H121)</x:f>
        <x:v>107</x:v>
      </x:c>
      <x:c r="J121" s="70" t="n">
        <x:f>IF(D121=0,"",100*I121/D121)</x:f>
        <x:v>297.22222222222223</x:v>
      </x:c>
      <x:c r="K121" s="72" t="n">
        <x:v>938.06667</x:v>
      </x:c>
      <x:c r="L121" s="72" t="n">
        <x:v>1334.910264</x:v>
      </x:c>
      <x:c r="M121" s="72" t="n">
        <x:f>L121-K121</x:f>
        <x:v>396.84359400000005</x:v>
      </x:c>
      <x:c r="N121" s="72" t="n">
        <x:f>ABS(M121)</x:f>
        <x:v>396.84359400000005</x:v>
      </x:c>
      <x:c r="O121" s="68" t="n">
        <x:f>G121-D121</x:f>
        <x:v>107</x:v>
      </x:c>
    </x:row>
    <x:row r="122" ht="22" customHeight="1">
      <x:c r="A122" s="68" t="str">
        <x:v>DOWN</x:v>
      </x:c>
      <x:c r="B122" s="68" t="str">
        <x:v>2026-02-21</x:v>
      </x:c>
      <x:c r="C122" s="68" t="str">
        <x:v>건천휴게소</x:v>
      </x:c>
      <x:c r="D122" s="68" t="n">
        <x:v>65</x:v>
      </x:c>
      <x:c r="E122" s="68" t="n">
        <x:v>44</x:v>
      </x:c>
      <x:c r="F122" s="68" t="n">
        <x:v>0</x:v>
      </x:c>
      <x:c r="G122" s="68" t="n">
        <x:v>44</x:v>
      </x:c>
      <x:c r="H122" s="68" t="n">
        <x:f>E122-D122</x:f>
        <x:v>-21</x:v>
      </x:c>
      <x:c r="I122" s="68" t="n">
        <x:f>ABS(H122)</x:f>
        <x:v>21</x:v>
      </x:c>
      <x:c r="J122" s="70" t="n">
        <x:f>IF(D122=0,"",100*I122/D122)</x:f>
        <x:v>32.30769230769231</x:v>
      </x:c>
      <x:c r="K122" s="72" t="n">
        <x:v>1550.05001</x:v>
      </x:c>
      <x:c r="L122" s="72" t="n">
        <x:v>470.638085</x:v>
      </x:c>
      <x:c r="M122" s="72" t="n">
        <x:f>L122-K122</x:f>
        <x:v>-1079.4119249999999</x:v>
      </x:c>
      <x:c r="N122" s="72" t="n">
        <x:f>ABS(M122)</x:f>
        <x:v>1079.4119249999999</x:v>
      </x:c>
      <x:c r="O122" s="68" t="n">
        <x:f>G122-D122</x:f>
        <x:v>-21</x:v>
      </x:c>
    </x:row>
    <x:row r="123" ht="22" customHeight="1">
      <x:c r="A123" s="68" t="str">
        <x:v>DOWN</x:v>
      </x:c>
      <x:c r="B123" s="68" t="str">
        <x:v>2026-02-21</x:v>
      </x:c>
      <x:c r="C123" s="68" t="str">
        <x:v>금강휴게소</x:v>
      </x:c>
      <x:c r="D123" s="68" t="n">
        <x:v>27</x:v>
      </x:c>
      <x:c r="E123" s="68" t="n">
        <x:v>2</x:v>
      </x:c>
      <x:c r="F123" s="68" t="n">
        <x:v>0</x:v>
      </x:c>
      <x:c r="G123" s="68" t="n">
        <x:v>2</x:v>
      </x:c>
      <x:c r="H123" s="68" t="n">
        <x:f>E123-D123</x:f>
        <x:v>-25</x:v>
      </x:c>
      <x:c r="I123" s="68" t="n">
        <x:f>ABS(H123)</x:f>
        <x:v>25</x:v>
      </x:c>
      <x:c r="J123" s="70" t="n">
        <x:f>IF(D123=0,"",100*I123/D123)</x:f>
        <x:v>92.5925925925926</x:v>
      </x:c>
      <x:c r="K123" s="72" t="n">
        <x:v>928.01668</x:v>
      </x:c>
      <x:c r="L123" s="72" t="n">
        <x:v>211.395044</x:v>
      </x:c>
      <x:c r="M123" s="72" t="n">
        <x:f>L123-K123</x:f>
        <x:v>-716.621636</x:v>
      </x:c>
      <x:c r="N123" s="72" t="n">
        <x:f>ABS(M123)</x:f>
        <x:v>716.621636</x:v>
      </x:c>
      <x:c r="O123" s="68" t="n">
        <x:f>G123-D123</x:f>
        <x:v>-25</x:v>
      </x:c>
    </x:row>
    <x:row r="124" ht="22" customHeight="1">
      <x:c r="A124" s="68" t="str">
        <x:v>DOWN</x:v>
      </x:c>
      <x:c r="B124" s="68" t="str">
        <x:v>2026-02-21</x:v>
      </x:c>
      <x:c r="C124" s="68" t="str">
        <x:v>기흥휴게소</x:v>
      </x:c>
      <x:c r="D124" s="68" t="n">
        <x:v>9</x:v>
      </x:c>
      <x:c r="E124" s="68" t="n">
        <x:v>0</x:v>
      </x:c>
      <x:c r="F124" s="68" t="n">
        <x:v>144</x:v>
      </x:c>
      <x:c r="G124" s="68" t="n">
        <x:v>144</x:v>
      </x:c>
      <x:c r="H124" s="68" t="n">
        <x:f>E124-D124</x:f>
        <x:v>-9</x:v>
      </x:c>
      <x:c r="I124" s="68" t="n">
        <x:f>ABS(H124)</x:f>
        <x:v>9</x:v>
      </x:c>
      <x:c r="J124" s="70" t="n">
        <x:f>IF(D124=0,"",100*I124/D124)</x:f>
        <x:v>100</x:v>
      </x:c>
      <x:c r="K124" s="72" t="n">
        <x:v>237.58332</x:v>
      </x:c>
      <x:c r="L124" s="72" t="n">
        <x:v>0</x:v>
      </x:c>
      <x:c r="M124" s="72" t="n">
        <x:f>L124-K124</x:f>
        <x:v>-237.58332</x:v>
      </x:c>
      <x:c r="N124" s="72" t="n">
        <x:f>ABS(M124)</x:f>
        <x:v>237.58332</x:v>
      </x:c>
      <x:c r="O124" s="68" t="n">
        <x:f>G124-D124</x:f>
        <x:v>135</x:v>
      </x:c>
    </x:row>
    <x:row r="125" ht="22" customHeight="1">
      <x:c r="A125" s="68" t="str">
        <x:v>DOWN</x:v>
      </x:c>
      <x:c r="B125" s="68" t="str">
        <x:v>2026-02-21</x:v>
      </x:c>
      <x:c r="C125" s="68" t="str">
        <x:v>김천휴게소</x:v>
      </x:c>
      <x:c r="D125" s="68" t="n">
        <x:v>37</x:v>
      </x:c>
      <x:c r="E125" s="68" t="n">
        <x:v>21</x:v>
      </x:c>
      <x:c r="F125" s="68" t="n">
        <x:v>0</x:v>
      </x:c>
      <x:c r="G125" s="68" t="n">
        <x:v>21</x:v>
      </x:c>
      <x:c r="H125" s="68" t="n">
        <x:f>E125-D125</x:f>
        <x:v>-16</x:v>
      </x:c>
      <x:c r="I125" s="68" t="n">
        <x:f>ABS(H125)</x:f>
        <x:v>16</x:v>
      </x:c>
      <x:c r="J125" s="70" t="n">
        <x:f>IF(D125=0,"",100*I125/D125)</x:f>
        <x:v>43.24324324324324</x:v>
      </x:c>
      <x:c r="K125" s="72" t="n">
        <x:v>941.24999</x:v>
      </x:c>
      <x:c r="L125" s="72" t="n">
        <x:v>518.54227</x:v>
      </x:c>
      <x:c r="M125" s="72" t="n">
        <x:f>L125-K125</x:f>
        <x:v>-422.70772</x:v>
      </x:c>
      <x:c r="N125" s="72" t="n">
        <x:f>ABS(M125)</x:f>
        <x:v>422.70772</x:v>
      </x:c>
      <x:c r="O125" s="68" t="n">
        <x:f>G125-D125</x:f>
        <x:v>-16</x:v>
      </x:c>
    </x:row>
    <x:row r="126" ht="22" customHeight="1">
      <x:c r="A126" s="68" t="str">
        <x:v>DOWN</x:v>
      </x:c>
      <x:c r="B126" s="68" t="str">
        <x:v>2026-02-21</x:v>
      </x:c>
      <x:c r="C126" s="68" t="str">
        <x:v>서울만남휴게소</x:v>
      </x:c>
      <x:c r="D126" s="68" t="n">
        <x:v>14</x:v>
      </x:c>
      <x:c r="E126" s="68" t="n">
        <x:v>2</x:v>
      </x:c>
      <x:c r="F126" s="68" t="n">
        <x:v>209</x:v>
      </x:c>
      <x:c r="G126" s="68" t="n">
        <x:v>211</x:v>
      </x:c>
      <x:c r="H126" s="68" t="n">
        <x:f>E126-D126</x:f>
        <x:v>-12</x:v>
      </x:c>
      <x:c r="I126" s="68" t="n">
        <x:f>ABS(H126)</x:f>
        <x:v>12</x:v>
      </x:c>
      <x:c r="J126" s="70" t="n">
        <x:f>IF(D126=0,"",100*I126/D126)</x:f>
        <x:v>85.71428571428571</x:v>
      </x:c>
      <x:c r="K126" s="72" t="n">
        <x:v>514.89999</x:v>
      </x:c>
      <x:c r="L126" s="72" t="n">
        <x:v>1.232933</x:v>
      </x:c>
      <x:c r="M126" s="72" t="n">
        <x:f>L126-K126</x:f>
        <x:v>-513.667057</x:v>
      </x:c>
      <x:c r="N126" s="72" t="n">
        <x:f>ABS(M126)</x:f>
        <x:v>513.667057</x:v>
      </x:c>
      <x:c r="O126" s="68" t="n">
        <x:f>G126-D126</x:f>
        <x:v>197</x:v>
      </x:c>
    </x:row>
    <x:row r="127" ht="22" customHeight="1">
      <x:c r="A127" s="68" t="str">
        <x:v>DOWN</x:v>
      </x:c>
      <x:c r="B127" s="68" t="str">
        <x:v>2026-02-21</x:v>
      </x:c>
      <x:c r="C127" s="68" t="str">
        <x:v>서울하이패스센터쉼터</x:v>
      </x:c>
      <x:c r="D127" s="68" t="n">
        <x:v>14</x:v>
      </x:c>
      <x:c r="E127" s="68" t="n">
        <x:v>0</x:v>
      </x:c>
      <x:c r="F127" s="68" t="n">
        <x:v>0</x:v>
      </x:c>
      <x:c r="G127" s="68" t="n">
        <x:v>0</x:v>
      </x:c>
      <x:c r="H127" s="68" t="n">
        <x:f>E127-D127</x:f>
        <x:v>-14</x:v>
      </x:c>
      <x:c r="I127" s="68" t="n">
        <x:f>ABS(H127)</x:f>
        <x:v>14</x:v>
      </x:c>
      <x:c r="J127" s="70" t="n">
        <x:f>IF(D127=0,"",100*I127/D127)</x:f>
        <x:v>100</x:v>
      </x:c>
      <x:c r="K127" s="72" t="n">
        <x:v>423.43333</x:v>
      </x:c>
      <x:c r="L127" s="72" t="n">
        <x:v>0</x:v>
      </x:c>
      <x:c r="M127" s="72" t="n">
        <x:f>L127-K127</x:f>
        <x:v>-423.43333</x:v>
      </x:c>
      <x:c r="N127" s="72" t="n">
        <x:f>ABS(M127)</x:f>
        <x:v>423.43333</x:v>
      </x:c>
      <x:c r="O127" s="68" t="n">
        <x:f>G127-D127</x:f>
        <x:v>-14</x:v>
      </x:c>
    </x:row>
    <x:row r="128" ht="22" customHeight="1">
      <x:c r="A128" s="68" t="str">
        <x:v>DOWN</x:v>
      </x:c>
      <x:c r="B128" s="68" t="str">
        <x:v>2026-02-21</x:v>
      </x:c>
      <x:c r="C128" s="68" t="str">
        <x:v>안성휴게소</x:v>
      </x:c>
      <x:c r="D128" s="68" t="n">
        <x:v>37</x:v>
      </x:c>
      <x:c r="E128" s="68" t="n">
        <x:v>5</x:v>
      </x:c>
      <x:c r="F128" s="68" t="n">
        <x:v>142</x:v>
      </x:c>
      <x:c r="G128" s="68" t="n">
        <x:v>147</x:v>
      </x:c>
      <x:c r="H128" s="68" t="n">
        <x:f>E128-D128</x:f>
        <x:v>-32</x:v>
      </x:c>
      <x:c r="I128" s="68" t="n">
        <x:f>ABS(H128)</x:f>
        <x:v>32</x:v>
      </x:c>
      <x:c r="J128" s="70" t="n">
        <x:f>IF(D128=0,"",100*I128/D128)</x:f>
        <x:v>86.48648648648648</x:v>
      </x:c>
      <x:c r="K128" s="72" t="n">
        <x:v>895.79998</x:v>
      </x:c>
      <x:c r="L128" s="72" t="n">
        <x:v>33.036771</x:v>
      </x:c>
      <x:c r="M128" s="72" t="n">
        <x:f>L128-K128</x:f>
        <x:v>-862.763209</x:v>
      </x:c>
      <x:c r="N128" s="72" t="n">
        <x:f>ABS(M128)</x:f>
        <x:v>862.763209</x:v>
      </x:c>
      <x:c r="O128" s="68" t="n">
        <x:f>G128-D128</x:f>
        <x:v>110</x:v>
      </x:c>
    </x:row>
    <x:row r="129" ht="22" customHeight="1">
      <x:c r="A129" s="68" t="str">
        <x:v>DOWN</x:v>
      </x:c>
      <x:c r="B129" s="68" t="str">
        <x:v>2026-02-21</x:v>
      </x:c>
      <x:c r="C129" s="68" t="str">
        <x:v>옥산휴게소</x:v>
      </x:c>
      <x:c r="D129" s="68" t="n">
        <x:v>29</x:v>
      </x:c>
      <x:c r="E129" s="68" t="n">
        <x:v>42</x:v>
      </x:c>
      <x:c r="F129" s="68" t="n">
        <x:v>7</x:v>
      </x:c>
      <x:c r="G129" s="68" t="n">
        <x:v>49</x:v>
      </x:c>
      <x:c r="H129" s="68" t="n">
        <x:f>E129-D129</x:f>
        <x:v>13</x:v>
      </x:c>
      <x:c r="I129" s="68" t="n">
        <x:f>ABS(H129)</x:f>
        <x:v>13</x:v>
      </x:c>
      <x:c r="J129" s="70" t="n">
        <x:f>IF(D129=0,"",100*I129/D129)</x:f>
        <x:v>44.827586206896555</x:v>
      </x:c>
      <x:c r="K129" s="72" t="n">
        <x:v>693.83333</x:v>
      </x:c>
      <x:c r="L129" s="72" t="n">
        <x:v>724.085988</x:v>
      </x:c>
      <x:c r="M129" s="72" t="n">
        <x:f>L129-K129</x:f>
        <x:v>30.252657999999997</x:v>
      </x:c>
      <x:c r="N129" s="72" t="n">
        <x:f>ABS(M129)</x:f>
        <x:v>30.252657999999997</x:v>
      </x:c>
      <x:c r="O129" s="68" t="n">
        <x:f>G129-D129</x:f>
        <x:v>20</x:v>
      </x:c>
    </x:row>
    <x:row r="130" ht="22" customHeight="1">
      <x:c r="A130" s="68" t="str">
        <x:v>DOWN</x:v>
      </x:c>
      <x:c r="B130" s="68" t="str">
        <x:v>2026-02-21</x:v>
      </x:c>
      <x:c r="C130" s="68" t="str">
        <x:v>옥천만남휴게소</x:v>
      </x:c>
      <x:c r="D130" s="68" t="n">
        <x:v>0</x:v>
      </x:c>
      <x:c r="E130" s="68" t="n">
        <x:v>0</x:v>
      </x:c>
      <x:c r="F130" s="68" t="n">
        <x:v>0</x:v>
      </x:c>
      <x:c r="G130" s="68" t="n">
        <x:v>0</x:v>
      </x:c>
      <x:c r="H130" s="68" t="n">
        <x:f>E130-D130</x:f>
        <x:v>0</x:v>
      </x:c>
      <x:c r="I130" s="68" t="n">
        <x:f>ABS(H130)</x:f>
        <x:v>0</x:v>
      </x:c>
      <x:c r="J130" s="70" t="str">
        <x:f>IF(D130=0,"",100*I130/D130)</x:f>
      </x:c>
      <x:c r="K130" s="72" t="n">
        <x:v>0</x:v>
      </x:c>
      <x:c r="L130" s="72" t="n">
        <x:v>0</x:v>
      </x:c>
      <x:c r="M130" s="72" t="n">
        <x:f>L130-K130</x:f>
        <x:v>0</x:v>
      </x:c>
      <x:c r="N130" s="72" t="n">
        <x:f>ABS(M130)</x:f>
        <x:v>0</x:v>
      </x:c>
      <x:c r="O130" s="68" t="n">
        <x:f>G130-D130</x:f>
        <x:v>0</x:v>
      </x:c>
    </x:row>
    <x:row r="131" ht="22" customHeight="1">
      <x:c r="A131" s="68" t="str">
        <x:v>DOWN</x:v>
      </x:c>
      <x:c r="B131" s="68" t="str">
        <x:v>2026-02-21</x:v>
      </x:c>
      <x:c r="C131" s="68" t="str">
        <x:v>옥천휴게소</x:v>
      </x:c>
      <x:c r="D131" s="68" t="n">
        <x:v>7</x:v>
      </x:c>
      <x:c r="E131" s="68" t="n">
        <x:v>0</x:v>
      </x:c>
      <x:c r="F131" s="68" t="n">
        <x:v>140</x:v>
      </x:c>
      <x:c r="G131" s="68" t="n">
        <x:v>140</x:v>
      </x:c>
      <x:c r="H131" s="68" t="n">
        <x:f>E131-D131</x:f>
        <x:v>-7</x:v>
      </x:c>
      <x:c r="I131" s="68" t="n">
        <x:f>ABS(H131)</x:f>
        <x:v>7</x:v>
      </x:c>
      <x:c r="J131" s="70" t="n">
        <x:f>IF(D131=0,"",100*I131/D131)</x:f>
        <x:v>100</x:v>
      </x:c>
      <x:c r="K131" s="72" t="n">
        <x:v>219.23333</x:v>
      </x:c>
      <x:c r="L131" s="72" t="n">
        <x:v>0</x:v>
      </x:c>
      <x:c r="M131" s="72" t="n">
        <x:f>L131-K131</x:f>
        <x:v>-219.23333</x:v>
      </x:c>
      <x:c r="N131" s="72" t="n">
        <x:f>ABS(M131)</x:f>
        <x:v>219.23333</x:v>
      </x:c>
      <x:c r="O131" s="68" t="n">
        <x:f>G131-D131</x:f>
        <x:v>133</x:v>
      </x:c>
    </x:row>
    <x:row r="132" ht="22" customHeight="1">
      <x:c r="A132" s="68" t="str">
        <x:v>DOWN</x:v>
      </x:c>
      <x:c r="B132" s="68" t="str">
        <x:v>2026-02-21</x:v>
      </x:c>
      <x:c r="C132" s="68" t="str">
        <x:v>천안호두휴게소</x:v>
      </x:c>
      <x:c r="D132" s="68" t="n">
        <x:v>31</x:v>
      </x:c>
      <x:c r="E132" s="68" t="n">
        <x:v>0</x:v>
      </x:c>
      <x:c r="F132" s="68" t="n">
        <x:v>28</x:v>
      </x:c>
      <x:c r="G132" s="68" t="n">
        <x:v>28</x:v>
      </x:c>
      <x:c r="H132" s="68" t="n">
        <x:f>E132-D132</x:f>
        <x:v>-31</x:v>
      </x:c>
      <x:c r="I132" s="68" t="n">
        <x:f>ABS(H132)</x:f>
        <x:v>31</x:v>
      </x:c>
      <x:c r="J132" s="70" t="n">
        <x:f>IF(D132=0,"",100*I132/D132)</x:f>
        <x:v>100</x:v>
      </x:c>
      <x:c r="K132" s="72" t="n">
        <x:v>939.45</x:v>
      </x:c>
      <x:c r="L132" s="72" t="n">
        <x:v>0</x:v>
      </x:c>
      <x:c r="M132" s="72" t="n">
        <x:f>L132-K132</x:f>
        <x:v>-939.45</x:v>
      </x:c>
      <x:c r="N132" s="72" t="n">
        <x:f>ABS(M132)</x:f>
        <x:v>939.45</x:v>
      </x:c>
      <x:c r="O132" s="68" t="n">
        <x:f>G132-D132</x:f>
        <x:v>-3</x:v>
      </x:c>
    </x:row>
    <x:row r="133" ht="22" customHeight="1">
      <x:c r="A133" s="68" t="str">
        <x:v>DOWN</x:v>
      </x:c>
      <x:c r="B133" s="68" t="str">
        <x:v>2026-02-21</x:v>
      </x:c>
      <x:c r="C133" s="68" t="str">
        <x:v>추풍령휴게소</x:v>
      </x:c>
      <x:c r="D133" s="68" t="n">
        <x:v>13</x:v>
      </x:c>
      <x:c r="E133" s="68" t="n">
        <x:v>51</x:v>
      </x:c>
      <x:c r="F133" s="68" t="n">
        <x:v>15</x:v>
      </x:c>
      <x:c r="G133" s="68" t="n">
        <x:v>66</x:v>
      </x:c>
      <x:c r="H133" s="68" t="n">
        <x:f>E133-D133</x:f>
        <x:v>38</x:v>
      </x:c>
      <x:c r="I133" s="68" t="n">
        <x:f>ABS(H133)</x:f>
        <x:v>38</x:v>
      </x:c>
      <x:c r="J133" s="70" t="n">
        <x:f>IF(D133=0,"",100*I133/D133)</x:f>
        <x:v>292.3076923076923</x:v>
      </x:c>
      <x:c r="K133" s="72" t="n">
        <x:v>372.63334</x:v>
      </x:c>
      <x:c r="L133" s="72" t="n">
        <x:v>866.419004</x:v>
      </x:c>
      <x:c r="M133" s="72" t="n">
        <x:f>L133-K133</x:f>
        <x:v>493.785664</x:v>
      </x:c>
      <x:c r="N133" s="72" t="n">
        <x:f>ABS(M133)</x:f>
        <x:v>493.785664</x:v>
      </x:c>
      <x:c r="O133" s="68" t="n">
        <x:f>G133-D133</x:f>
        <x:v>53</x:v>
      </x:c>
    </x:row>
    <x:row r="134" ht="22" customHeight="1">
      <x:c r="A134" s="68" t="str">
        <x:v>DOWN</x:v>
      </x:c>
      <x:c r="B134" s="68" t="str">
        <x:v>2026-02-21</x:v>
      </x:c>
      <x:c r="C134" s="68" t="str">
        <x:v>칠곡휴게소</x:v>
      </x:c>
      <x:c r="D134" s="68" t="n">
        <x:v>86</x:v>
      </x:c>
      <x:c r="E134" s="68" t="n">
        <x:v>5</x:v>
      </x:c>
      <x:c r="F134" s="68" t="n">
        <x:v>195</x:v>
      </x:c>
      <x:c r="G134" s="68" t="n">
        <x:v>200</x:v>
      </x:c>
      <x:c r="H134" s="68" t="n">
        <x:f>E134-D134</x:f>
        <x:v>-81</x:v>
      </x:c>
      <x:c r="I134" s="68" t="n">
        <x:f>ABS(H134)</x:f>
        <x:v>81</x:v>
      </x:c>
      <x:c r="J134" s="70" t="n">
        <x:f>IF(D134=0,"",100*I134/D134)</x:f>
        <x:v>94.18604651162791</x:v>
      </x:c>
      <x:c r="K134" s="72" t="n">
        <x:v>2387.21665</x:v>
      </x:c>
      <x:c r="L134" s="72" t="n">
        <x:v>51.258748</x:v>
      </x:c>
      <x:c r="M134" s="72" t="n">
        <x:f>L134-K134</x:f>
        <x:v>-2335.9579019999996</x:v>
      </x:c>
      <x:c r="N134" s="72" t="n">
        <x:f>ABS(M134)</x:f>
        <x:v>2335.9579019999996</x:v>
      </x:c>
      <x:c r="O134" s="68" t="n">
        <x:f>G134-D134</x:f>
        <x:v>114</x:v>
      </x:c>
    </x:row>
    <x:row r="135" ht="22" customHeight="1">
      <x:c r="A135" s="68" t="str">
        <x:v>DOWN</x:v>
      </x:c>
      <x:c r="B135" s="68" t="str">
        <x:v>2026-02-21</x:v>
      </x:c>
      <x:c r="C135" s="68" t="str">
        <x:v>통도사휴게소</x:v>
      </x:c>
      <x:c r="D135" s="68" t="n">
        <x:v>14</x:v>
      </x:c>
      <x:c r="E135" s="68" t="n">
        <x:v>0</x:v>
      </x:c>
      <x:c r="F135" s="68" t="n">
        <x:v>7</x:v>
      </x:c>
      <x:c r="G135" s="68" t="n">
        <x:v>7</x:v>
      </x:c>
      <x:c r="H135" s="68" t="n">
        <x:f>E135-D135</x:f>
        <x:v>-14</x:v>
      </x:c>
      <x:c r="I135" s="68" t="n">
        <x:f>ABS(H135)</x:f>
        <x:v>14</x:v>
      </x:c>
      <x:c r="J135" s="70" t="n">
        <x:f>IF(D135=0,"",100*I135/D135)</x:f>
        <x:v>100</x:v>
      </x:c>
      <x:c r="K135" s="72" t="n">
        <x:v>311.75</x:v>
      </x:c>
      <x:c r="L135" s="72" t="n">
        <x:v>0</x:v>
      </x:c>
      <x:c r="M135" s="72" t="n">
        <x:f>L135-K135</x:f>
        <x:v>-311.75</x:v>
      </x:c>
      <x:c r="N135" s="72" t="n">
        <x:f>ABS(M135)</x:f>
        <x:v>311.75</x:v>
      </x:c>
      <x:c r="O135" s="68" t="n">
        <x:f>G135-D135</x:f>
        <x:v>-7</x:v>
      </x:c>
    </x:row>
    <x:row r="136" ht="22" customHeight="1">
      <x:c r="A136" s="68" t="str">
        <x:v>DOWN</x:v>
      </x:c>
      <x:c r="B136" s="68" t="str">
        <x:v>2026-02-21</x:v>
      </x:c>
      <x:c r="C136" s="68" t="str">
        <x:v>평사휴게소</x:v>
      </x:c>
      <x:c r="D136" s="68" t="n">
        <x:v>39</x:v>
      </x:c>
      <x:c r="E136" s="68" t="n">
        <x:v>160</x:v>
      </x:c>
      <x:c r="F136" s="68" t="n">
        <x:v>0</x:v>
      </x:c>
      <x:c r="G136" s="68" t="n">
        <x:v>160</x:v>
      </x:c>
      <x:c r="H136" s="68" t="n">
        <x:f>E136-D136</x:f>
        <x:v>121</x:v>
      </x:c>
      <x:c r="I136" s="68" t="n">
        <x:f>ABS(H136)</x:f>
        <x:v>121</x:v>
      </x:c>
      <x:c r="J136" s="70" t="n">
        <x:f>IF(D136=0,"",100*I136/D136)</x:f>
        <x:v>310.2564102564103</x:v>
      </x:c>
      <x:c r="K136" s="72" t="n">
        <x:v>897.81665</x:v>
      </x:c>
      <x:c r="L136" s="72" t="n">
        <x:v>1320.215611</x:v>
      </x:c>
      <x:c r="M136" s="72" t="n">
        <x:f>L136-K136</x:f>
        <x:v>422.3989610000001</x:v>
      </x:c>
      <x:c r="N136" s="72" t="n">
        <x:f>ABS(M136)</x:f>
        <x:v>422.3989610000001</x:v>
      </x:c>
      <x:c r="O136" s="68" t="n">
        <x:f>G136-D136</x:f>
        <x:v>121</x:v>
      </x:c>
    </x:row>
    <x:row r="137" ht="22" customHeight="1">
      <x:c r="A137" s="68" t="str">
        <x:v>DOWN</x:v>
      </x:c>
      <x:c r="B137" s="68" t="str">
        <x:v>2026-02-22</x:v>
      </x:c>
      <x:c r="C137" s="68" t="str">
        <x:v>건천휴게소</x:v>
      </x:c>
      <x:c r="D137" s="68" t="n">
        <x:v>57</x:v>
      </x:c>
      <x:c r="E137" s="68" t="n">
        <x:v>45</x:v>
      </x:c>
      <x:c r="F137" s="68" t="n">
        <x:v>0</x:v>
      </x:c>
      <x:c r="G137" s="68" t="n">
        <x:v>45</x:v>
      </x:c>
      <x:c r="H137" s="68" t="n">
        <x:f>E137-D137</x:f>
        <x:v>-12</x:v>
      </x:c>
      <x:c r="I137" s="68" t="n">
        <x:f>ABS(H137)</x:f>
        <x:v>12</x:v>
      </x:c>
      <x:c r="J137" s="70" t="n">
        <x:f>IF(D137=0,"",100*I137/D137)</x:f>
        <x:v>21.05263157894737</x:v>
      </x:c>
      <x:c r="K137" s="72" t="n">
        <x:v>1199.84999</x:v>
      </x:c>
      <x:c r="L137" s="72" t="n">
        <x:v>518.641553</x:v>
      </x:c>
      <x:c r="M137" s="72" t="n">
        <x:f>L137-K137</x:f>
        <x:v>-681.2084369999999</x:v>
      </x:c>
      <x:c r="N137" s="72" t="n">
        <x:f>ABS(M137)</x:f>
        <x:v>681.2084369999999</x:v>
      </x:c>
      <x:c r="O137" s="68" t="n">
        <x:f>G137-D137</x:f>
        <x:v>-12</x:v>
      </x:c>
    </x:row>
    <x:row r="138" ht="22" customHeight="1">
      <x:c r="A138" s="68" t="str">
        <x:v>DOWN</x:v>
      </x:c>
      <x:c r="B138" s="68" t="str">
        <x:v>2026-02-22</x:v>
      </x:c>
      <x:c r="C138" s="68" t="str">
        <x:v>금강휴게소</x:v>
      </x:c>
      <x:c r="D138" s="68" t="n">
        <x:v>18</x:v>
      </x:c>
      <x:c r="E138" s="68" t="n">
        <x:v>1</x:v>
      </x:c>
      <x:c r="F138" s="68" t="n">
        <x:v>0</x:v>
      </x:c>
      <x:c r="G138" s="68" t="n">
        <x:v>1</x:v>
      </x:c>
      <x:c r="H138" s="68" t="n">
        <x:f>E138-D138</x:f>
        <x:v>-17</x:v>
      </x:c>
      <x:c r="I138" s="68" t="n">
        <x:f>ABS(H138)</x:f>
        <x:v>17</x:v>
      </x:c>
      <x:c r="J138" s="70" t="n">
        <x:f>IF(D138=0,"",100*I138/D138)</x:f>
        <x:v>94.44444444444444</x:v>
      </x:c>
      <x:c r="K138" s="72" t="n">
        <x:v>787.76666</x:v>
      </x:c>
      <x:c r="L138" s="72" t="n">
        <x:v>113.041489</x:v>
      </x:c>
      <x:c r="M138" s="72" t="n">
        <x:f>L138-K138</x:f>
        <x:v>-674.725171</x:v>
      </x:c>
      <x:c r="N138" s="72" t="n">
        <x:f>ABS(M138)</x:f>
        <x:v>674.725171</x:v>
      </x:c>
      <x:c r="O138" s="68" t="n">
        <x:f>G138-D138</x:f>
        <x:v>-17</x:v>
      </x:c>
    </x:row>
    <x:row r="139" ht="22" customHeight="1">
      <x:c r="A139" s="68" t="str">
        <x:v>DOWN</x:v>
      </x:c>
      <x:c r="B139" s="68" t="str">
        <x:v>2026-02-22</x:v>
      </x:c>
      <x:c r="C139" s="68" t="str">
        <x:v>기흥휴게소</x:v>
      </x:c>
      <x:c r="D139" s="68" t="n">
        <x:v>3</x:v>
      </x:c>
      <x:c r="E139" s="68" t="n">
        <x:v>0</x:v>
      </x:c>
      <x:c r="F139" s="68" t="n">
        <x:v>102</x:v>
      </x:c>
      <x:c r="G139" s="68" t="n">
        <x:v>102</x:v>
      </x:c>
      <x:c r="H139" s="68" t="n">
        <x:f>E139-D139</x:f>
        <x:v>-3</x:v>
      </x:c>
      <x:c r="I139" s="68" t="n">
        <x:f>ABS(H139)</x:f>
        <x:v>3</x:v>
      </x:c>
      <x:c r="J139" s="70" t="n">
        <x:f>IF(D139=0,"",100*I139/D139)</x:f>
        <x:v>100</x:v>
      </x:c>
      <x:c r="K139" s="72" t="n">
        <x:v>83.25</x:v>
      </x:c>
      <x:c r="L139" s="72" t="n">
        <x:v>0</x:v>
      </x:c>
      <x:c r="M139" s="72" t="n">
        <x:f>L139-K139</x:f>
        <x:v>-83.25</x:v>
      </x:c>
      <x:c r="N139" s="72" t="n">
        <x:f>ABS(M139)</x:f>
        <x:v>83.25</x:v>
      </x:c>
      <x:c r="O139" s="68" t="n">
        <x:f>G139-D139</x:f>
        <x:v>99</x:v>
      </x:c>
    </x:row>
    <x:row r="140" ht="22" customHeight="1">
      <x:c r="A140" s="68" t="str">
        <x:v>DOWN</x:v>
      </x:c>
      <x:c r="B140" s="68" t="str">
        <x:v>2026-02-22</x:v>
      </x:c>
      <x:c r="C140" s="68" t="str">
        <x:v>김천휴게소</x:v>
      </x:c>
      <x:c r="D140" s="68" t="n">
        <x:v>19</x:v>
      </x:c>
      <x:c r="E140" s="68" t="n">
        <x:v>27</x:v>
      </x:c>
      <x:c r="F140" s="68" t="n">
        <x:v>0</x:v>
      </x:c>
      <x:c r="G140" s="68" t="n">
        <x:v>27</x:v>
      </x:c>
      <x:c r="H140" s="68" t="n">
        <x:f>E140-D140</x:f>
        <x:v>8</x:v>
      </x:c>
      <x:c r="I140" s="68" t="n">
        <x:f>ABS(H140)</x:f>
        <x:v>8</x:v>
      </x:c>
      <x:c r="J140" s="70" t="n">
        <x:f>IF(D140=0,"",100*I140/D140)</x:f>
        <x:v>42.10526315789474</x:v>
      </x:c>
      <x:c r="K140" s="72" t="n">
        <x:v>483.18334</x:v>
      </x:c>
      <x:c r="L140" s="72" t="n">
        <x:v>669.91475</x:v>
      </x:c>
      <x:c r="M140" s="72" t="n">
        <x:f>L140-K140</x:f>
        <x:v>186.73141000000004</x:v>
      </x:c>
      <x:c r="N140" s="72" t="n">
        <x:f>ABS(M140)</x:f>
        <x:v>186.73141000000004</x:v>
      </x:c>
      <x:c r="O140" s="68" t="n">
        <x:f>G140-D140</x:f>
        <x:v>8</x:v>
      </x:c>
    </x:row>
    <x:row r="141" ht="22" customHeight="1">
      <x:c r="A141" s="68" t="str">
        <x:v>DOWN</x:v>
      </x:c>
      <x:c r="B141" s="68" t="str">
        <x:v>2026-02-22</x:v>
      </x:c>
      <x:c r="C141" s="68" t="str">
        <x:v>서울만남휴게소</x:v>
      </x:c>
      <x:c r="D141" s="68" t="n">
        <x:v>4</x:v>
      </x:c>
      <x:c r="E141" s="68" t="n">
        <x:v>1</x:v>
      </x:c>
      <x:c r="F141" s="68" t="n">
        <x:v>192</x:v>
      </x:c>
      <x:c r="G141" s="68" t="n">
        <x:v>193</x:v>
      </x:c>
      <x:c r="H141" s="68" t="n">
        <x:f>E141-D141</x:f>
        <x:v>-3</x:v>
      </x:c>
      <x:c r="I141" s="68" t="n">
        <x:f>ABS(H141)</x:f>
        <x:v>3</x:v>
      </x:c>
      <x:c r="J141" s="70" t="n">
        <x:f>IF(D141=0,"",100*I141/D141)</x:f>
        <x:v>75</x:v>
      </x:c>
      <x:c r="K141" s="72" t="n">
        <x:v>129.91667</x:v>
      </x:c>
      <x:c r="L141" s="72" t="n">
        <x:v>0.024368</x:v>
      </x:c>
      <x:c r="M141" s="72" t="n">
        <x:f>L141-K141</x:f>
        <x:v>-129.892302</x:v>
      </x:c>
      <x:c r="N141" s="72" t="n">
        <x:f>ABS(M141)</x:f>
        <x:v>129.892302</x:v>
      </x:c>
      <x:c r="O141" s="68" t="n">
        <x:f>G141-D141</x:f>
        <x:v>189</x:v>
      </x:c>
    </x:row>
    <x:row r="142" ht="22" customHeight="1">
      <x:c r="A142" s="68" t="str">
        <x:v>DOWN</x:v>
      </x:c>
      <x:c r="B142" s="68" t="str">
        <x:v>2026-02-22</x:v>
      </x:c>
      <x:c r="C142" s="68" t="str">
        <x:v>서울하이패스센터쉼터</x:v>
      </x:c>
      <x:c r="D142" s="68" t="n">
        <x:v>19</x:v>
      </x:c>
      <x:c r="E142" s="68" t="n">
        <x:v>2</x:v>
      </x:c>
      <x:c r="F142" s="68" t="n">
        <x:v>0</x:v>
      </x:c>
      <x:c r="G142" s="68" t="n">
        <x:v>2</x:v>
      </x:c>
      <x:c r="H142" s="68" t="n">
        <x:f>E142-D142</x:f>
        <x:v>-17</x:v>
      </x:c>
      <x:c r="I142" s="68" t="n">
        <x:f>ABS(H142)</x:f>
        <x:v>17</x:v>
      </x:c>
      <x:c r="J142" s="70" t="n">
        <x:f>IF(D142=0,"",100*I142/D142)</x:f>
        <x:v>89.47368421052632</x:v>
      </x:c>
      <x:c r="K142" s="72" t="n">
        <x:v>473.23332</x:v>
      </x:c>
      <x:c r="L142" s="72" t="n">
        <x:v>12.916947</x:v>
      </x:c>
      <x:c r="M142" s="72" t="n">
        <x:f>L142-K142</x:f>
        <x:v>-460.316373</x:v>
      </x:c>
      <x:c r="N142" s="72" t="n">
        <x:f>ABS(M142)</x:f>
        <x:v>460.316373</x:v>
      </x:c>
      <x:c r="O142" s="68" t="n">
        <x:f>G142-D142</x:f>
        <x:v>-17</x:v>
      </x:c>
    </x:row>
    <x:row r="143" ht="22" customHeight="1">
      <x:c r="A143" s="68" t="str">
        <x:v>DOWN</x:v>
      </x:c>
      <x:c r="B143" s="68" t="str">
        <x:v>2026-02-22</x:v>
      </x:c>
      <x:c r="C143" s="68" t="str">
        <x:v>안성휴게소</x:v>
      </x:c>
      <x:c r="D143" s="68" t="n">
        <x:v>24</x:v>
      </x:c>
      <x:c r="E143" s="68" t="n">
        <x:v>2</x:v>
      </x:c>
      <x:c r="F143" s="68" t="n">
        <x:v>132</x:v>
      </x:c>
      <x:c r="G143" s="68" t="n">
        <x:v>134</x:v>
      </x:c>
      <x:c r="H143" s="68" t="n">
        <x:f>E143-D143</x:f>
        <x:v>-22</x:v>
      </x:c>
      <x:c r="I143" s="68" t="n">
        <x:f>ABS(H143)</x:f>
        <x:v>22</x:v>
      </x:c>
      <x:c r="J143" s="70" t="n">
        <x:f>IF(D143=0,"",100*I143/D143)</x:f>
        <x:v>91.66666666666667</x:v>
      </x:c>
      <x:c r="K143" s="72" t="n">
        <x:v>759.73334</x:v>
      </x:c>
      <x:c r="L143" s="72" t="n">
        <x:v>6.610953</x:v>
      </x:c>
      <x:c r="M143" s="72" t="n">
        <x:f>L143-K143</x:f>
        <x:v>-753.122387</x:v>
      </x:c>
      <x:c r="N143" s="72" t="n">
        <x:f>ABS(M143)</x:f>
        <x:v>753.122387</x:v>
      </x:c>
      <x:c r="O143" s="68" t="n">
        <x:f>G143-D143</x:f>
        <x:v>110</x:v>
      </x:c>
    </x:row>
    <x:row r="144" ht="22" customHeight="1">
      <x:c r="A144" s="68" t="str">
        <x:v>DOWN</x:v>
      </x:c>
      <x:c r="B144" s="68" t="str">
        <x:v>2026-02-22</x:v>
      </x:c>
      <x:c r="C144" s="68" t="str">
        <x:v>옥산휴게소</x:v>
      </x:c>
      <x:c r="D144" s="68" t="n">
        <x:v>28</x:v>
      </x:c>
      <x:c r="E144" s="68" t="n">
        <x:v>38</x:v>
      </x:c>
      <x:c r="F144" s="68" t="n">
        <x:v>6</x:v>
      </x:c>
      <x:c r="G144" s="68" t="n">
        <x:v>44</x:v>
      </x:c>
      <x:c r="H144" s="68" t="n">
        <x:f>E144-D144</x:f>
        <x:v>10</x:v>
      </x:c>
      <x:c r="I144" s="68" t="n">
        <x:f>ABS(H144)</x:f>
        <x:v>10</x:v>
      </x:c>
      <x:c r="J144" s="70" t="n">
        <x:f>IF(D144=0,"",100*I144/D144)</x:f>
        <x:v>35.714285714285715</x:v>
      </x:c>
      <x:c r="K144" s="72" t="n">
        <x:v>690.09998</x:v>
      </x:c>
      <x:c r="L144" s="72" t="n">
        <x:v>561.938537</x:v>
      </x:c>
      <x:c r="M144" s="72" t="n">
        <x:f>L144-K144</x:f>
        <x:v>-128.16144299999996</x:v>
      </x:c>
      <x:c r="N144" s="72" t="n">
        <x:f>ABS(M144)</x:f>
        <x:v>128.16144299999996</x:v>
      </x:c>
      <x:c r="O144" s="68" t="n">
        <x:f>G144-D144</x:f>
        <x:v>16</x:v>
      </x:c>
    </x:row>
    <x:row r="145" ht="22" customHeight="1">
      <x:c r="A145" s="68" t="str">
        <x:v>DOWN</x:v>
      </x:c>
      <x:c r="B145" s="68" t="str">
        <x:v>2026-02-22</x:v>
      </x:c>
      <x:c r="C145" s="68" t="str">
        <x:v>옥천만남휴게소</x:v>
      </x:c>
      <x:c r="D145" s="68" t="n">
        <x:v>1</x:v>
      </x:c>
      <x:c r="E145" s="68" t="n">
        <x:v>0</x:v>
      </x:c>
      <x:c r="F145" s="68" t="n">
        <x:v>0</x:v>
      </x:c>
      <x:c r="G145" s="68" t="n">
        <x:v>0</x:v>
      </x:c>
      <x:c r="H145" s="68" t="n">
        <x:f>E145-D145</x:f>
        <x:v>-1</x:v>
      </x:c>
      <x:c r="I145" s="68" t="n">
        <x:f>ABS(H145)</x:f>
        <x:v>1</x:v>
      </x:c>
      <x:c r="J145" s="70" t="n">
        <x:f>IF(D145=0,"",100*I145/D145)</x:f>
        <x:v>100</x:v>
      </x:c>
      <x:c r="K145" s="72" t="n">
        <x:v>23.25</x:v>
      </x:c>
      <x:c r="L145" s="72" t="n">
        <x:v>0</x:v>
      </x:c>
      <x:c r="M145" s="72" t="n">
        <x:f>L145-K145</x:f>
        <x:v>-23.25</x:v>
      </x:c>
      <x:c r="N145" s="72" t="n">
        <x:f>ABS(M145)</x:f>
        <x:v>23.25</x:v>
      </x:c>
      <x:c r="O145" s="68" t="n">
        <x:f>G145-D145</x:f>
        <x:v>-1</x:v>
      </x:c>
    </x:row>
    <x:row r="146" ht="22" customHeight="1">
      <x:c r="A146" s="68" t="str">
        <x:v>DOWN</x:v>
      </x:c>
      <x:c r="B146" s="68" t="str">
        <x:v>2026-02-22</x:v>
      </x:c>
      <x:c r="C146" s="68" t="str">
        <x:v>옥천휴게소</x:v>
      </x:c>
      <x:c r="D146" s="68" t="n">
        <x:v>3</x:v>
      </x:c>
      <x:c r="E146" s="68" t="n">
        <x:v>0</x:v>
      </x:c>
      <x:c r="F146" s="68" t="n">
        <x:v>109</x:v>
      </x:c>
      <x:c r="G146" s="68" t="n">
        <x:v>109</x:v>
      </x:c>
      <x:c r="H146" s="68" t="n">
        <x:f>E146-D146</x:f>
        <x:v>-3</x:v>
      </x:c>
      <x:c r="I146" s="68" t="n">
        <x:f>ABS(H146)</x:f>
        <x:v>3</x:v>
      </x:c>
      <x:c r="J146" s="70" t="n">
        <x:f>IF(D146=0,"",100*I146/D146)</x:f>
        <x:v>100</x:v>
      </x:c>
      <x:c r="K146" s="72" t="n">
        <x:v>57.7</x:v>
      </x:c>
      <x:c r="L146" s="72" t="n">
        <x:v>0</x:v>
      </x:c>
      <x:c r="M146" s="72" t="n">
        <x:f>L146-K146</x:f>
        <x:v>-57.7</x:v>
      </x:c>
      <x:c r="N146" s="72" t="n">
        <x:f>ABS(M146)</x:f>
        <x:v>57.7</x:v>
      </x:c>
      <x:c r="O146" s="68" t="n">
        <x:f>G146-D146</x:f>
        <x:v>106</x:v>
      </x:c>
    </x:row>
    <x:row r="147" ht="22" customHeight="1">
      <x:c r="A147" s="68" t="str">
        <x:v>DOWN</x:v>
      </x:c>
      <x:c r="B147" s="68" t="str">
        <x:v>2026-02-22</x:v>
      </x:c>
      <x:c r="C147" s="68" t="str">
        <x:v>천안호두휴게소</x:v>
      </x:c>
      <x:c r="D147" s="68" t="n">
        <x:v>27</x:v>
      </x:c>
      <x:c r="E147" s="68" t="n">
        <x:v>0</x:v>
      </x:c>
      <x:c r="F147" s="68" t="n">
        <x:v>18</x:v>
      </x:c>
      <x:c r="G147" s="68" t="n">
        <x:v>18</x:v>
      </x:c>
      <x:c r="H147" s="68" t="n">
        <x:f>E147-D147</x:f>
        <x:v>-27</x:v>
      </x:c>
      <x:c r="I147" s="68" t="n">
        <x:f>ABS(H147)</x:f>
        <x:v>27</x:v>
      </x:c>
      <x:c r="J147" s="70" t="n">
        <x:f>IF(D147=0,"",100*I147/D147)</x:f>
        <x:v>100</x:v>
      </x:c>
      <x:c r="K147" s="72" t="n">
        <x:v>605.66666</x:v>
      </x:c>
      <x:c r="L147" s="72" t="n">
        <x:v>0</x:v>
      </x:c>
      <x:c r="M147" s="72" t="n">
        <x:f>L147-K147</x:f>
        <x:v>-605.66666</x:v>
      </x:c>
      <x:c r="N147" s="72" t="n">
        <x:f>ABS(M147)</x:f>
        <x:v>605.66666</x:v>
      </x:c>
      <x:c r="O147" s="68" t="n">
        <x:f>G147-D147</x:f>
        <x:v>-9</x:v>
      </x:c>
    </x:row>
    <x:row r="148" ht="22" customHeight="1">
      <x:c r="A148" s="68" t="str">
        <x:v>DOWN</x:v>
      </x:c>
      <x:c r="B148" s="68" t="str">
        <x:v>2026-02-22</x:v>
      </x:c>
      <x:c r="C148" s="68" t="str">
        <x:v>추풍령휴게소</x:v>
      </x:c>
      <x:c r="D148" s="68" t="n">
        <x:v>17</x:v>
      </x:c>
      <x:c r="E148" s="68" t="n">
        <x:v>48</x:v>
      </x:c>
      <x:c r="F148" s="68" t="n">
        <x:v>14</x:v>
      </x:c>
      <x:c r="G148" s="68" t="n">
        <x:v>62</x:v>
      </x:c>
      <x:c r="H148" s="68" t="n">
        <x:f>E148-D148</x:f>
        <x:v>31</x:v>
      </x:c>
      <x:c r="I148" s="68" t="n">
        <x:f>ABS(H148)</x:f>
        <x:v>31</x:v>
      </x:c>
      <x:c r="J148" s="70" t="n">
        <x:f>IF(D148=0,"",100*I148/D148)</x:f>
        <x:v>182.35294117647058</x:v>
      </x:c>
      <x:c r="K148" s="72" t="n">
        <x:v>425.74999</x:v>
      </x:c>
      <x:c r="L148" s="72" t="n">
        <x:v>918.430584</x:v>
      </x:c>
      <x:c r="M148" s="72" t="n">
        <x:f>L148-K148</x:f>
        <x:v>492.6805939999999</x:v>
      </x:c>
      <x:c r="N148" s="72" t="n">
        <x:f>ABS(M148)</x:f>
        <x:v>492.6805939999999</x:v>
      </x:c>
      <x:c r="O148" s="68" t="n">
        <x:f>G148-D148</x:f>
        <x:v>45</x:v>
      </x:c>
    </x:row>
    <x:row r="149" ht="22" customHeight="1">
      <x:c r="A149" s="68" t="str">
        <x:v>DOWN</x:v>
      </x:c>
      <x:c r="B149" s="68" t="str">
        <x:v>2026-02-22</x:v>
      </x:c>
      <x:c r="C149" s="68" t="str">
        <x:v>칠곡휴게소</x:v>
      </x:c>
      <x:c r="D149" s="68" t="n">
        <x:v>62</x:v>
      </x:c>
      <x:c r="E149" s="68" t="n">
        <x:v>8</x:v>
      </x:c>
      <x:c r="F149" s="68" t="n">
        <x:v>191</x:v>
      </x:c>
      <x:c r="G149" s="68" t="n">
        <x:v>199</x:v>
      </x:c>
      <x:c r="H149" s="68" t="n">
        <x:f>E149-D149</x:f>
        <x:v>-54</x:v>
      </x:c>
      <x:c r="I149" s="68" t="n">
        <x:f>ABS(H149)</x:f>
        <x:v>54</x:v>
      </x:c>
      <x:c r="J149" s="70" t="n">
        <x:f>IF(D149=0,"",100*I149/D149)</x:f>
        <x:v>87.09677419354838</x:v>
      </x:c>
      <x:c r="K149" s="72" t="n">
        <x:v>1621.06667</x:v>
      </x:c>
      <x:c r="L149" s="72" t="n">
        <x:v>129.84856</x:v>
      </x:c>
      <x:c r="M149" s="72" t="n">
        <x:f>L149-K149</x:f>
        <x:v>-1491.21811</x:v>
      </x:c>
      <x:c r="N149" s="72" t="n">
        <x:f>ABS(M149)</x:f>
        <x:v>1491.21811</x:v>
      </x:c>
      <x:c r="O149" s="68" t="n">
        <x:f>G149-D149</x:f>
        <x:v>137</x:v>
      </x:c>
    </x:row>
    <x:row r="150" ht="22" customHeight="1">
      <x:c r="A150" s="68" t="str">
        <x:v>DOWN</x:v>
      </x:c>
      <x:c r="B150" s="68" t="str">
        <x:v>2026-02-22</x:v>
      </x:c>
      <x:c r="C150" s="68" t="str">
        <x:v>통도사휴게소</x:v>
      </x:c>
      <x:c r="D150" s="68" t="n">
        <x:v>18</x:v>
      </x:c>
      <x:c r="E150" s="68" t="n">
        <x:v>0</x:v>
      </x:c>
      <x:c r="F150" s="68" t="n">
        <x:v>8</x:v>
      </x:c>
      <x:c r="G150" s="68" t="n">
        <x:v>8</x:v>
      </x:c>
      <x:c r="H150" s="68" t="n">
        <x:f>E150-D150</x:f>
        <x:v>-18</x:v>
      </x:c>
      <x:c r="I150" s="68" t="n">
        <x:f>ABS(H150)</x:f>
        <x:v>18</x:v>
      </x:c>
      <x:c r="J150" s="70" t="n">
        <x:f>IF(D150=0,"",100*I150/D150)</x:f>
        <x:v>100</x:v>
      </x:c>
      <x:c r="K150" s="72" t="n">
        <x:v>570.35</x:v>
      </x:c>
      <x:c r="L150" s="72" t="n">
        <x:v>0</x:v>
      </x:c>
      <x:c r="M150" s="72" t="n">
        <x:f>L150-K150</x:f>
        <x:v>-570.35</x:v>
      </x:c>
      <x:c r="N150" s="72" t="n">
        <x:f>ABS(M150)</x:f>
        <x:v>570.35</x:v>
      </x:c>
      <x:c r="O150" s="68" t="n">
        <x:f>G150-D150</x:f>
        <x:v>-10</x:v>
      </x:c>
    </x:row>
    <x:row r="151" ht="22" customHeight="1">
      <x:c r="A151" s="68" t="str">
        <x:v>DOWN</x:v>
      </x:c>
      <x:c r="B151" s="68" t="str">
        <x:v>2026-02-22</x:v>
      </x:c>
      <x:c r="C151" s="68" t="str">
        <x:v>평사휴게소</x:v>
      </x:c>
      <x:c r="D151" s="68" t="n">
        <x:v>34</x:v>
      </x:c>
      <x:c r="E151" s="68" t="n">
        <x:v>152</x:v>
      </x:c>
      <x:c r="F151" s="68" t="n">
        <x:v>0</x:v>
      </x:c>
      <x:c r="G151" s="68" t="n">
        <x:v>152</x:v>
      </x:c>
      <x:c r="H151" s="68" t="n">
        <x:f>E151-D151</x:f>
        <x:v>118</x:v>
      </x:c>
      <x:c r="I151" s="68" t="n">
        <x:f>ABS(H151)</x:f>
        <x:v>118</x:v>
      </x:c>
      <x:c r="J151" s="70" t="n">
        <x:f>IF(D151=0,"",100*I151/D151)</x:f>
        <x:v>347.05882352941177</x:v>
      </x:c>
      <x:c r="K151" s="72" t="n">
        <x:v>711.43335</x:v>
      </x:c>
      <x:c r="L151" s="72" t="n">
        <x:v>1558.545141</x:v>
      </x:c>
      <x:c r="M151" s="72" t="n">
        <x:f>L151-K151</x:f>
        <x:v>847.111791</x:v>
      </x:c>
      <x:c r="N151" s="72" t="n">
        <x:f>ABS(M151)</x:f>
        <x:v>847.111791</x:v>
      </x:c>
      <x:c r="O151" s="68" t="n">
        <x:f>G151-D151</x:f>
        <x:v>118</x:v>
      </x:c>
    </x:row>
    <x:row r="152" ht="22" customHeight="1">
      <x:c r="A152" s="68" t="str">
        <x:v>UP</x:v>
      </x:c>
      <x:c r="B152" s="68" t="str">
        <x:v>2026-02-13</x:v>
      </x:c>
      <x:c r="C152" s="68" t="str">
        <x:v>건천휴게소</x:v>
      </x:c>
      <x:c r="D152" s="68" t="n">
        <x:v>52</x:v>
      </x:c>
      <x:c r="E152" s="68" t="n">
        <x:v>32</x:v>
      </x:c>
      <x:c r="F152" s="68" t="n">
        <x:v>0</x:v>
      </x:c>
      <x:c r="G152" s="68" t="n">
        <x:v>32</x:v>
      </x:c>
      <x:c r="H152" s="68" t="n">
        <x:f>E152-D152</x:f>
        <x:v>-20</x:v>
      </x:c>
      <x:c r="I152" s="68" t="n">
        <x:f>ABS(H152)</x:f>
        <x:v>20</x:v>
      </x:c>
      <x:c r="J152" s="70" t="n">
        <x:f>IF(D152=0,"",100*I152/D152)</x:f>
        <x:v>38.46153846153846</x:v>
      </x:c>
      <x:c r="K152" s="72" t="n">
        <x:v>1468.76669</x:v>
      </x:c>
      <x:c r="L152" s="72" t="n">
        <x:v>831.206592</x:v>
      </x:c>
      <x:c r="M152" s="72" t="n">
        <x:f>L152-K152</x:f>
        <x:v>-637.5600979999999</x:v>
      </x:c>
      <x:c r="N152" s="72" t="n">
        <x:f>ABS(M152)</x:f>
        <x:v>637.5600979999999</x:v>
      </x:c>
      <x:c r="O152" s="68" t="n">
        <x:f>G152-D152</x:f>
        <x:v>-20</x:v>
      </x:c>
    </x:row>
    <x:row r="153" ht="22" customHeight="1">
      <x:c r="A153" s="68" t="str">
        <x:v>UP</x:v>
      </x:c>
      <x:c r="B153" s="68" t="str">
        <x:v>2026-02-13</x:v>
      </x:c>
      <x:c r="C153" s="68" t="str">
        <x:v>경산휴게소</x:v>
      </x:c>
      <x:c r="D153" s="68" t="n">
        <x:v>37</x:v>
      </x:c>
      <x:c r="E153" s="68" t="n">
        <x:v>31</x:v>
      </x:c>
      <x:c r="F153" s="68" t="n">
        <x:v>0</x:v>
      </x:c>
      <x:c r="G153" s="68" t="n">
        <x:v>31</x:v>
      </x:c>
      <x:c r="H153" s="68" t="n">
        <x:f>E153-D153</x:f>
        <x:v>-6</x:v>
      </x:c>
      <x:c r="I153" s="68" t="n">
        <x:f>ABS(H153)</x:f>
        <x:v>6</x:v>
      </x:c>
      <x:c r="J153" s="70" t="n">
        <x:f>IF(D153=0,"",100*I153/D153)</x:f>
        <x:v>16.216216216216218</x:v>
      </x:c>
      <x:c r="K153" s="72" t="n">
        <x:v>1043.80001</x:v>
      </x:c>
      <x:c r="L153" s="72" t="n">
        <x:v>763.667809</x:v>
      </x:c>
      <x:c r="M153" s="72" t="n">
        <x:f>L153-K153</x:f>
        <x:v>-280.1322009999999</x:v>
      </x:c>
      <x:c r="N153" s="72" t="n">
        <x:f>ABS(M153)</x:f>
        <x:v>280.1322009999999</x:v>
      </x:c>
      <x:c r="O153" s="68" t="n">
        <x:f>G153-D153</x:f>
        <x:v>-6</x:v>
      </x:c>
    </x:row>
    <x:row r="154" ht="22" customHeight="1">
      <x:c r="A154" s="68" t="str">
        <x:v>UP</x:v>
      </x:c>
      <x:c r="B154" s="68" t="str">
        <x:v>2026-02-13</x:v>
      </x:c>
      <x:c r="C154" s="68" t="str">
        <x:v>김천휴게소</x:v>
      </x:c>
      <x:c r="D154" s="68" t="n">
        <x:v>5</x:v>
      </x:c>
      <x:c r="E154" s="68" t="n">
        <x:v>0</x:v>
      </x:c>
      <x:c r="F154" s="68" t="n">
        <x:v>78</x:v>
      </x:c>
      <x:c r="G154" s="68" t="n">
        <x:v>78</x:v>
      </x:c>
      <x:c r="H154" s="68" t="n">
        <x:f>E154-D154</x:f>
        <x:v>-5</x:v>
      </x:c>
      <x:c r="I154" s="68" t="n">
        <x:f>ABS(H154)</x:f>
        <x:v>5</x:v>
      </x:c>
      <x:c r="J154" s="70" t="n">
        <x:f>IF(D154=0,"",100*I154/D154)</x:f>
        <x:v>100</x:v>
      </x:c>
      <x:c r="K154" s="72" t="n">
        <x:v>105.21667</x:v>
      </x:c>
      <x:c r="L154" s="72" t="n">
        <x:v>0</x:v>
      </x:c>
      <x:c r="M154" s="72" t="n">
        <x:f>L154-K154</x:f>
        <x:v>-105.21667</x:v>
      </x:c>
      <x:c r="N154" s="72" t="n">
        <x:f>ABS(M154)</x:f>
        <x:v>105.21667</x:v>
      </x:c>
      <x:c r="O154" s="68" t="n">
        <x:f>G154-D154</x:f>
        <x:v>73</x:v>
      </x:c>
    </x:row>
    <x:row r="155" ht="22" customHeight="1">
      <x:c r="A155" s="68" t="str">
        <x:v>UP</x:v>
      </x:c>
      <x:c r="B155" s="68" t="str">
        <x:v>2026-02-13</x:v>
      </x:c>
      <x:c r="C155" s="68" t="str">
        <x:v>신탄진휴게소</x:v>
      </x:c>
      <x:c r="D155" s="68" t="n">
        <x:v>71</x:v>
      </x:c>
      <x:c r="E155" s="68" t="n">
        <x:v>83</x:v>
      </x:c>
      <x:c r="F155" s="68" t="n">
        <x:v>8</x:v>
      </x:c>
      <x:c r="G155" s="68" t="n">
        <x:v>91</x:v>
      </x:c>
      <x:c r="H155" s="68" t="n">
        <x:f>E155-D155</x:f>
        <x:v>12</x:v>
      </x:c>
      <x:c r="I155" s="68" t="n">
        <x:f>ABS(H155)</x:f>
        <x:v>12</x:v>
      </x:c>
      <x:c r="J155" s="70" t="n">
        <x:f>IF(D155=0,"",100*I155/D155)</x:f>
        <x:v>16.901408450704224</x:v>
      </x:c>
      <x:c r="K155" s="72" t="n">
        <x:v>2024.58333</x:v>
      </x:c>
      <x:c r="L155" s="72" t="n">
        <x:v>708.042422</x:v>
      </x:c>
      <x:c r="M155" s="72" t="n">
        <x:f>L155-K155</x:f>
        <x:v>-1316.540908</x:v>
      </x:c>
      <x:c r="N155" s="72" t="n">
        <x:f>ABS(M155)</x:f>
        <x:v>1316.540908</x:v>
      </x:c>
      <x:c r="O155" s="68" t="n">
        <x:f>G155-D155</x:f>
        <x:v>20</x:v>
      </x:c>
    </x:row>
    <x:row r="156" ht="22" customHeight="1">
      <x:c r="A156" s="68" t="str">
        <x:v>UP</x:v>
      </x:c>
      <x:c r="B156" s="68" t="str">
        <x:v>2026-02-13</x:v>
      </x:c>
      <x:c r="C156" s="68" t="str">
        <x:v>안성휴게소</x:v>
      </x:c>
      <x:c r="D156" s="68" t="n">
        <x:v>65</x:v>
      </x:c>
      <x:c r="E156" s="68" t="n">
        <x:v>0</x:v>
      </x:c>
      <x:c r="F156" s="68" t="n">
        <x:v>235</x:v>
      </x:c>
      <x:c r="G156" s="68" t="n">
        <x:v>235</x:v>
      </x:c>
      <x:c r="H156" s="68" t="n">
        <x:f>E156-D156</x:f>
        <x:v>-65</x:v>
      </x:c>
      <x:c r="I156" s="68" t="n">
        <x:f>ABS(H156)</x:f>
        <x:v>65</x:v>
      </x:c>
      <x:c r="J156" s="70" t="n">
        <x:f>IF(D156=0,"",100*I156/D156)</x:f>
        <x:v>100</x:v>
      </x:c>
      <x:c r="K156" s="72" t="n">
        <x:v>1767.08334</x:v>
      </x:c>
      <x:c r="L156" s="72" t="n">
        <x:v>0</x:v>
      </x:c>
      <x:c r="M156" s="72" t="n">
        <x:f>L156-K156</x:f>
        <x:v>-1767.08334</x:v>
      </x:c>
      <x:c r="N156" s="72" t="n">
        <x:f>ABS(M156)</x:f>
        <x:v>1767.08334</x:v>
      </x:c>
      <x:c r="O156" s="68" t="n">
        <x:f>G156-D156</x:f>
        <x:v>170</x:v>
      </x:c>
    </x:row>
    <x:row r="157" ht="22" customHeight="1">
      <x:c r="A157" s="68" t="str">
        <x:v>UP</x:v>
      </x:c>
      <x:c r="B157" s="68" t="str">
        <x:v>2026-02-13</x:v>
      </x:c>
      <x:c r="C157" s="68" t="str">
        <x:v>양산휴게소</x:v>
      </x:c>
      <x:c r="D157" s="68" t="n">
        <x:v>28</x:v>
      </x:c>
      <x:c r="E157" s="68" t="n">
        <x:v>0</x:v>
      </x:c>
      <x:c r="F157" s="68" t="n">
        <x:v>19</x:v>
      </x:c>
      <x:c r="G157" s="68" t="n">
        <x:v>19</x:v>
      </x:c>
      <x:c r="H157" s="68" t="n">
        <x:f>E157-D157</x:f>
        <x:v>-28</x:v>
      </x:c>
      <x:c r="I157" s="68" t="n">
        <x:f>ABS(H157)</x:f>
        <x:v>28</x:v>
      </x:c>
      <x:c r="J157" s="70" t="n">
        <x:f>IF(D157=0,"",100*I157/D157)</x:f>
        <x:v>100</x:v>
      </x:c>
      <x:c r="K157" s="72" t="n">
        <x:v>752.86666</x:v>
      </x:c>
      <x:c r="L157" s="72" t="n">
        <x:v>0</x:v>
      </x:c>
      <x:c r="M157" s="72" t="n">
        <x:f>L157-K157</x:f>
        <x:v>-752.86666</x:v>
      </x:c>
      <x:c r="N157" s="72" t="n">
        <x:f>ABS(M157)</x:f>
        <x:v>752.86666</x:v>
      </x:c>
      <x:c r="O157" s="68" t="n">
        <x:f>G157-D157</x:f>
        <x:v>-9</x:v>
      </x:c>
    </x:row>
    <x:row r="158" ht="22" customHeight="1">
      <x:c r="A158" s="68" t="str">
        <x:v>UP</x:v>
      </x:c>
      <x:c r="B158" s="68" t="str">
        <x:v>2026-02-13</x:v>
      </x:c>
      <x:c r="C158" s="68" t="str">
        <x:v>언양휴게소</x:v>
      </x:c>
      <x:c r="D158" s="68" t="n">
        <x:v>4</x:v>
      </x:c>
      <x:c r="E158" s="68" t="n">
        <x:v>4</x:v>
      </x:c>
      <x:c r="F158" s="68" t="n">
        <x:v>275</x:v>
      </x:c>
      <x:c r="G158" s="68" t="n">
        <x:v>279</x:v>
      </x:c>
      <x:c r="H158" s="68" t="n">
        <x:f>E158-D158</x:f>
        <x:v>0</x:v>
      </x:c>
      <x:c r="I158" s="68" t="n">
        <x:f>ABS(H158)</x:f>
        <x:v>0</x:v>
      </x:c>
      <x:c r="J158" s="70" t="n">
        <x:f>IF(D158=0,"",100*I158/D158)</x:f>
        <x:v>0</x:v>
      </x:c>
      <x:c r="K158" s="72" t="n">
        <x:v>131.83333</x:v>
      </x:c>
      <x:c r="L158" s="72" t="n">
        <x:v>40.538119</x:v>
      </x:c>
      <x:c r="M158" s="72" t="n">
        <x:f>L158-K158</x:f>
        <x:v>-91.295211</x:v>
      </x:c>
      <x:c r="N158" s="72" t="n">
        <x:f>ABS(M158)</x:f>
        <x:v>91.295211</x:v>
      </x:c>
      <x:c r="O158" s="68" t="n">
        <x:f>G158-D158</x:f>
        <x:v>275</x:v>
      </x:c>
    </x:row>
    <x:row r="159" ht="22" customHeight="1">
      <x:c r="A159" s="68" t="str">
        <x:v>UP</x:v>
      </x:c>
      <x:c r="B159" s="68" t="str">
        <x:v>2026-02-13</x:v>
      </x:c>
      <x:c r="C159" s="68" t="str">
        <x:v>입장거봉포도휴게소</x:v>
      </x:c>
      <x:c r="D159" s="68" t="n">
        <x:v>58</x:v>
      </x:c>
      <x:c r="E159" s="68" t="n">
        <x:v>57</x:v>
      </x:c>
      <x:c r="F159" s="68" t="n">
        <x:v>0</x:v>
      </x:c>
      <x:c r="G159" s="68" t="n">
        <x:v>57</x:v>
      </x:c>
      <x:c r="H159" s="68" t="n">
        <x:f>E159-D159</x:f>
        <x:v>-1</x:v>
      </x:c>
      <x:c r="I159" s="68" t="n">
        <x:f>ABS(H159)</x:f>
        <x:v>1</x:v>
      </x:c>
      <x:c r="J159" s="70" t="n">
        <x:f>IF(D159=0,"",100*I159/D159)</x:f>
        <x:v>1.7241379310344827</x:v>
      </x:c>
      <x:c r="K159" s="72" t="n">
        <x:v>1479.63332</x:v>
      </x:c>
      <x:c r="L159" s="72" t="n">
        <x:v>311.324914</x:v>
      </x:c>
      <x:c r="M159" s="72" t="n">
        <x:f>L159-K159</x:f>
        <x:v>-1168.3084059999999</x:v>
      </x:c>
      <x:c r="N159" s="72" t="n">
        <x:f>ABS(M159)</x:f>
        <x:v>1168.3084059999999</x:v>
      </x:c>
      <x:c r="O159" s="68" t="n">
        <x:f>G159-D159</x:f>
        <x:v>-1</x:v>
      </x:c>
    </x:row>
    <x:row r="160" ht="22" customHeight="1">
      <x:c r="A160" s="68" t="str">
        <x:v>UP</x:v>
      </x:c>
      <x:c r="B160" s="68" t="str">
        <x:v>2026-02-13</x:v>
      </x:c>
      <x:c r="C160" s="68" t="str">
        <x:v>죽암휴게소</x:v>
      </x:c>
      <x:c r="D160" s="68" t="n">
        <x:v>58</x:v>
      </x:c>
      <x:c r="E160" s="68" t="n">
        <x:v>3</x:v>
      </x:c>
      <x:c r="F160" s="68" t="n">
        <x:v>0</x:v>
      </x:c>
      <x:c r="G160" s="68" t="n">
        <x:v>3</x:v>
      </x:c>
      <x:c r="H160" s="68" t="n">
        <x:f>E160-D160</x:f>
        <x:v>-55</x:v>
      </x:c>
      <x:c r="I160" s="68" t="n">
        <x:f>ABS(H160)</x:f>
        <x:v>55</x:v>
      </x:c>
      <x:c r="J160" s="70" t="n">
        <x:f>IF(D160=0,"",100*I160/D160)</x:f>
        <x:v>94.82758620689656</x:v>
      </x:c>
      <x:c r="K160" s="72" t="n">
        <x:v>1482.91666</x:v>
      </x:c>
      <x:c r="L160" s="72" t="n">
        <x:v>17.359993</x:v>
      </x:c>
      <x:c r="M160" s="72" t="n">
        <x:f>L160-K160</x:f>
        <x:v>-1465.556667</x:v>
      </x:c>
      <x:c r="N160" s="72" t="n">
        <x:f>ABS(M160)</x:f>
        <x:v>1465.556667</x:v>
      </x:c>
      <x:c r="O160" s="68" t="n">
        <x:f>G160-D160</x:f>
        <x:v>-55</x:v>
      </x:c>
    </x:row>
    <x:row r="161" ht="22" customHeight="1">
      <x:c r="A161" s="68" t="str">
        <x:v>UP</x:v>
      </x:c>
      <x:c r="B161" s="68" t="str">
        <x:v>2026-02-13</x:v>
      </x:c>
      <x:c r="C161" s="68" t="str">
        <x:v>죽전휴게소</x:v>
      </x:c>
      <x:c r="D161" s="68" t="n">
        <x:v>78</x:v>
      </x:c>
      <x:c r="E161" s="68" t="n">
        <x:v>5</x:v>
      </x:c>
      <x:c r="F161" s="68" t="n">
        <x:v>0</x:v>
      </x:c>
      <x:c r="G161" s="68" t="n">
        <x:v>5</x:v>
      </x:c>
      <x:c r="H161" s="68" t="n">
        <x:f>E161-D161</x:f>
        <x:v>-73</x:v>
      </x:c>
      <x:c r="I161" s="68" t="n">
        <x:f>ABS(H161)</x:f>
        <x:v>73</x:v>
      </x:c>
      <x:c r="J161" s="70" t="n">
        <x:f>IF(D161=0,"",100*I161/D161)</x:f>
        <x:v>93.58974358974359</x:v>
      </x:c>
      <x:c r="K161" s="72" t="n">
        <x:v>1969.29999</x:v>
      </x:c>
      <x:c r="L161" s="72" t="n">
        <x:v>6.900551</x:v>
      </x:c>
      <x:c r="M161" s="72" t="n">
        <x:f>L161-K161</x:f>
        <x:v>-1962.399439</x:v>
      </x:c>
      <x:c r="N161" s="72" t="n">
        <x:f>ABS(M161)</x:f>
        <x:v>1962.399439</x:v>
      </x:c>
      <x:c r="O161" s="68" t="n">
        <x:f>G161-D161</x:f>
        <x:v>-73</x:v>
      </x:c>
    </x:row>
    <x:row r="162" ht="22" customHeight="1">
      <x:c r="A162" s="68" t="str">
        <x:v>UP</x:v>
      </x:c>
      <x:c r="B162" s="68" t="str">
        <x:v>2026-02-13</x:v>
      </x:c>
      <x:c r="C162" s="68" t="str">
        <x:v>천안삼거리휴게소</x:v>
      </x:c>
      <x:c r="D162" s="68" t="n">
        <x:v>111</x:v>
      </x:c>
      <x:c r="E162" s="68" t="n">
        <x:v>57</x:v>
      </x:c>
      <x:c r="F162" s="68" t="n">
        <x:v>0</x:v>
      </x:c>
      <x:c r="G162" s="68" t="n">
        <x:v>57</x:v>
      </x:c>
      <x:c r="H162" s="68" t="n">
        <x:f>E162-D162</x:f>
        <x:v>-54</x:v>
      </x:c>
      <x:c r="I162" s="68" t="n">
        <x:f>ABS(H162)</x:f>
        <x:v>54</x:v>
      </x:c>
      <x:c r="J162" s="70" t="n">
        <x:f>IF(D162=0,"",100*I162/D162)</x:f>
        <x:v>48.648648648648646</x:v>
      </x:c>
      <x:c r="K162" s="72" t="n">
        <x:v>3035.61667</x:v>
      </x:c>
      <x:c r="L162" s="72" t="n">
        <x:v>644.183559</x:v>
      </x:c>
      <x:c r="M162" s="72" t="n">
        <x:f>L162-K162</x:f>
        <x:v>-2391.433111</x:v>
      </x:c>
      <x:c r="N162" s="72" t="n">
        <x:f>ABS(M162)</x:f>
        <x:v>2391.433111</x:v>
      </x:c>
      <x:c r="O162" s="68" t="n">
        <x:f>G162-D162</x:f>
        <x:v>-54</x:v>
      </x:c>
    </x:row>
    <x:row r="163" ht="22" customHeight="1">
      <x:c r="A163" s="68" t="str">
        <x:v>UP</x:v>
      </x:c>
      <x:c r="B163" s="68" t="str">
        <x:v>2026-02-13</x:v>
      </x:c>
      <x:c r="C163" s="68" t="str">
        <x:v>청주휴게소</x:v>
      </x:c>
      <x:c r="D163" s="68" t="n">
        <x:v>29</x:v>
      </x:c>
      <x:c r="E163" s="68" t="n">
        <x:v>0</x:v>
      </x:c>
      <x:c r="F163" s="68" t="n">
        <x:v>99</x:v>
      </x:c>
      <x:c r="G163" s="68" t="n">
        <x:v>99</x:v>
      </x:c>
      <x:c r="H163" s="68" t="n">
        <x:f>E163-D163</x:f>
        <x:v>-29</x:v>
      </x:c>
      <x:c r="I163" s="68" t="n">
        <x:f>ABS(H163)</x:f>
        <x:v>29</x:v>
      </x:c>
      <x:c r="J163" s="70" t="n">
        <x:f>IF(D163=0,"",100*I163/D163)</x:f>
        <x:v>100</x:v>
      </x:c>
      <x:c r="K163" s="72" t="n">
        <x:v>732.44998</x:v>
      </x:c>
      <x:c r="L163" s="72" t="n">
        <x:v>0</x:v>
      </x:c>
      <x:c r="M163" s="72" t="n">
        <x:f>L163-K163</x:f>
        <x:v>-732.44998</x:v>
      </x:c>
      <x:c r="N163" s="72" t="n">
        <x:f>ABS(M163)</x:f>
        <x:v>732.44998</x:v>
      </x:c>
      <x:c r="O163" s="68" t="n">
        <x:f>G163-D163</x:f>
        <x:v>70</x:v>
      </x:c>
    </x:row>
    <x:row r="164" ht="22" customHeight="1">
      <x:c r="A164" s="68" t="str">
        <x:v>UP</x:v>
      </x:c>
      <x:c r="B164" s="68" t="str">
        <x:v>2026-02-13</x:v>
      </x:c>
      <x:c r="C164" s="68" t="str">
        <x:v>추풍령휴게소</x:v>
      </x:c>
      <x:c r="D164" s="68" t="n">
        <x:v>17</x:v>
      </x:c>
      <x:c r="E164" s="68" t="n">
        <x:v>89</x:v>
      </x:c>
      <x:c r="F164" s="68" t="n">
        <x:v>25</x:v>
      </x:c>
      <x:c r="G164" s="68" t="n">
        <x:v>114</x:v>
      </x:c>
      <x:c r="H164" s="68" t="n">
        <x:f>E164-D164</x:f>
        <x:v>72</x:v>
      </x:c>
      <x:c r="I164" s="68" t="n">
        <x:f>ABS(H164)</x:f>
        <x:v>72</x:v>
      </x:c>
      <x:c r="J164" s="70" t="n">
        <x:f>IF(D164=0,"",100*I164/D164)</x:f>
        <x:v>423.52941176470586</x:v>
      </x:c>
      <x:c r="K164" s="72" t="n">
        <x:v>431.40001</x:v>
      </x:c>
      <x:c r="L164" s="72" t="n">
        <x:v>965.530412</x:v>
      </x:c>
      <x:c r="M164" s="72" t="n">
        <x:f>L164-K164</x:f>
        <x:v>534.130402</x:v>
      </x:c>
      <x:c r="N164" s="72" t="n">
        <x:f>ABS(M164)</x:f>
        <x:v>534.130402</x:v>
      </x:c>
      <x:c r="O164" s="68" t="n">
        <x:f>G164-D164</x:f>
        <x:v>97</x:v>
      </x:c>
    </x:row>
    <x:row r="165" ht="22" customHeight="1">
      <x:c r="A165" s="68" t="str">
        <x:v>UP</x:v>
      </x:c>
      <x:c r="B165" s="68" t="str">
        <x:v>2026-02-13</x:v>
      </x:c>
      <x:c r="C165" s="68" t="str">
        <x:v>황간휴게소</x:v>
      </x:c>
      <x:c r="D165" s="68" t="n">
        <x:v>21</x:v>
      </x:c>
      <x:c r="E165" s="68" t="n">
        <x:v>39</x:v>
      </x:c>
      <x:c r="F165" s="68" t="n">
        <x:v>0</x:v>
      </x:c>
      <x:c r="G165" s="68" t="n">
        <x:v>39</x:v>
      </x:c>
      <x:c r="H165" s="68" t="n">
        <x:f>E165-D165</x:f>
        <x:v>18</x:v>
      </x:c>
      <x:c r="I165" s="68" t="n">
        <x:f>ABS(H165)</x:f>
        <x:v>18</x:v>
      </x:c>
      <x:c r="J165" s="70" t="n">
        <x:f>IF(D165=0,"",100*I165/D165)</x:f>
        <x:v>85.71428571428571</x:v>
      </x:c>
      <x:c r="K165" s="72" t="n">
        <x:v>585.85001</x:v>
      </x:c>
      <x:c r="L165" s="72" t="n">
        <x:v>396.497252</x:v>
      </x:c>
      <x:c r="M165" s="72" t="n">
        <x:f>L165-K165</x:f>
        <x:v>-189.352758</x:v>
      </x:c>
      <x:c r="N165" s="72" t="n">
        <x:f>ABS(M165)</x:f>
        <x:v>189.352758</x:v>
      </x:c>
      <x:c r="O165" s="68" t="n">
        <x:f>G165-D165</x:f>
        <x:v>18</x:v>
      </x:c>
    </x:row>
    <x:row r="166" ht="22" customHeight="1">
      <x:c r="A166" s="68" t="str">
        <x:v>UP</x:v>
      </x:c>
      <x:c r="B166" s="68" t="str">
        <x:v>2026-02-14</x:v>
      </x:c>
      <x:c r="C166" s="68" t="str">
        <x:v>건천휴게소</x:v>
      </x:c>
      <x:c r="D166" s="68" t="n">
        <x:v>47</x:v>
      </x:c>
      <x:c r="E166" s="68" t="n">
        <x:v>31</x:v>
      </x:c>
      <x:c r="F166" s="68" t="n">
        <x:v>0</x:v>
      </x:c>
      <x:c r="G166" s="68" t="n">
        <x:v>31</x:v>
      </x:c>
      <x:c r="H166" s="68" t="n">
        <x:f>E166-D166</x:f>
        <x:v>-16</x:v>
      </x:c>
      <x:c r="I166" s="68" t="n">
        <x:f>ABS(H166)</x:f>
        <x:v>16</x:v>
      </x:c>
      <x:c r="J166" s="70" t="n">
        <x:f>IF(D166=0,"",100*I166/D166)</x:f>
        <x:v>34.04255319148936</x:v>
      </x:c>
      <x:c r="K166" s="72" t="n">
        <x:v>1796.86666</x:v>
      </x:c>
      <x:c r="L166" s="72" t="n">
        <x:v>797.476408</x:v>
      </x:c>
      <x:c r="M166" s="72" t="n">
        <x:f>L166-K166</x:f>
        <x:v>-999.3902519999999</x:v>
      </x:c>
      <x:c r="N166" s="72" t="n">
        <x:f>ABS(M166)</x:f>
        <x:v>999.3902519999999</x:v>
      </x:c>
      <x:c r="O166" s="68" t="n">
        <x:f>G166-D166</x:f>
        <x:v>-16</x:v>
      </x:c>
    </x:row>
    <x:row r="167" ht="22" customHeight="1">
      <x:c r="A167" s="68" t="str">
        <x:v>UP</x:v>
      </x:c>
      <x:c r="B167" s="68" t="str">
        <x:v>2026-02-14</x:v>
      </x:c>
      <x:c r="C167" s="68" t="str">
        <x:v>경산휴게소</x:v>
      </x:c>
      <x:c r="D167" s="68" t="n">
        <x:v>22</x:v>
      </x:c>
      <x:c r="E167" s="68" t="n">
        <x:v>38</x:v>
      </x:c>
      <x:c r="F167" s="68" t="n">
        <x:v>0</x:v>
      </x:c>
      <x:c r="G167" s="68" t="n">
        <x:v>38</x:v>
      </x:c>
      <x:c r="H167" s="68" t="n">
        <x:f>E167-D167</x:f>
        <x:v>16</x:v>
      </x:c>
      <x:c r="I167" s="68" t="n">
        <x:f>ABS(H167)</x:f>
        <x:v>16</x:v>
      </x:c>
      <x:c r="J167" s="70" t="n">
        <x:f>IF(D167=0,"",100*I167/D167)</x:f>
        <x:v>72.72727272727273</x:v>
      </x:c>
      <x:c r="K167" s="72" t="n">
        <x:v>672.68333</x:v>
      </x:c>
      <x:c r="L167" s="72" t="n">
        <x:v>894.764036</x:v>
      </x:c>
      <x:c r="M167" s="72" t="n">
        <x:f>L167-K167</x:f>
        <x:v>222.08070600000008</x:v>
      </x:c>
      <x:c r="N167" s="72" t="n">
        <x:f>ABS(M167)</x:f>
        <x:v>222.08070600000008</x:v>
      </x:c>
      <x:c r="O167" s="68" t="n">
        <x:f>G167-D167</x:f>
        <x:v>16</x:v>
      </x:c>
    </x:row>
    <x:row r="168" ht="22" customHeight="1">
      <x:c r="A168" s="68" t="str">
        <x:v>UP</x:v>
      </x:c>
      <x:c r="B168" s="68" t="str">
        <x:v>2026-02-14</x:v>
      </x:c>
      <x:c r="C168" s="68" t="str">
        <x:v>김천휴게소</x:v>
      </x:c>
      <x:c r="D168" s="68" t="n">
        <x:v>3</x:v>
      </x:c>
      <x:c r="E168" s="68" t="n">
        <x:v>0</x:v>
      </x:c>
      <x:c r="F168" s="68" t="n">
        <x:v>51</x:v>
      </x:c>
      <x:c r="G168" s="68" t="n">
        <x:v>51</x:v>
      </x:c>
      <x:c r="H168" s="68" t="n">
        <x:f>E168-D168</x:f>
        <x:v>-3</x:v>
      </x:c>
      <x:c r="I168" s="68" t="n">
        <x:f>ABS(H168)</x:f>
        <x:v>3</x:v>
      </x:c>
      <x:c r="J168" s="70" t="n">
        <x:f>IF(D168=0,"",100*I168/D168)</x:f>
        <x:v>100</x:v>
      </x:c>
      <x:c r="K168" s="72" t="n">
        <x:v>1520.91666</x:v>
      </x:c>
      <x:c r="L168" s="72" t="n">
        <x:v>0</x:v>
      </x:c>
      <x:c r="M168" s="72" t="n">
        <x:f>L168-K168</x:f>
        <x:v>-1520.91666</x:v>
      </x:c>
      <x:c r="N168" s="72" t="n">
        <x:f>ABS(M168)</x:f>
        <x:v>1520.91666</x:v>
      </x:c>
      <x:c r="O168" s="68" t="n">
        <x:f>G168-D168</x:f>
        <x:v>48</x:v>
      </x:c>
    </x:row>
    <x:row r="169" ht="22" customHeight="1">
      <x:c r="A169" s="68" t="str">
        <x:v>UP</x:v>
      </x:c>
      <x:c r="B169" s="68" t="str">
        <x:v>2026-02-14</x:v>
      </x:c>
      <x:c r="C169" s="68" t="str">
        <x:v>신탄진휴게소</x:v>
      </x:c>
      <x:c r="D169" s="68" t="n">
        <x:v>68</x:v>
      </x:c>
      <x:c r="E169" s="68" t="n">
        <x:v>63</x:v>
      </x:c>
      <x:c r="F169" s="68" t="n">
        <x:v>2</x:v>
      </x:c>
      <x:c r="G169" s="68" t="n">
        <x:v>65</x:v>
      </x:c>
      <x:c r="H169" s="68" t="n">
        <x:f>E169-D169</x:f>
        <x:v>-5</x:v>
      </x:c>
      <x:c r="I169" s="68" t="n">
        <x:f>ABS(H169)</x:f>
        <x:v>5</x:v>
      </x:c>
      <x:c r="J169" s="70" t="n">
        <x:f>IF(D169=0,"",100*I169/D169)</x:f>
        <x:v>7.352941176470588</x:v>
      </x:c>
      <x:c r="K169" s="72" t="n">
        <x:v>2020.40002</x:v>
      </x:c>
      <x:c r="L169" s="72" t="n">
        <x:v>466.559331</x:v>
      </x:c>
      <x:c r="M169" s="72" t="n">
        <x:f>L169-K169</x:f>
        <x:v>-1553.840689</x:v>
      </x:c>
      <x:c r="N169" s="72" t="n">
        <x:f>ABS(M169)</x:f>
        <x:v>1553.840689</x:v>
      </x:c>
      <x:c r="O169" s="68" t="n">
        <x:f>G169-D169</x:f>
        <x:v>-3</x:v>
      </x:c>
    </x:row>
    <x:row r="170" ht="22" customHeight="1">
      <x:c r="A170" s="68" t="str">
        <x:v>UP</x:v>
      </x:c>
      <x:c r="B170" s="68" t="str">
        <x:v>2026-02-14</x:v>
      </x:c>
      <x:c r="C170" s="68" t="str">
        <x:v>안성휴게소</x:v>
      </x:c>
      <x:c r="D170" s="68" t="n">
        <x:v>42</x:v>
      </x:c>
      <x:c r="E170" s="68" t="n">
        <x:v>0</x:v>
      </x:c>
      <x:c r="F170" s="68" t="n">
        <x:v>229</x:v>
      </x:c>
      <x:c r="G170" s="68" t="n">
        <x:v>229</x:v>
      </x:c>
      <x:c r="H170" s="68" t="n">
        <x:f>E170-D170</x:f>
        <x:v>-42</x:v>
      </x:c>
      <x:c r="I170" s="68" t="n">
        <x:f>ABS(H170)</x:f>
        <x:v>42</x:v>
      </x:c>
      <x:c r="J170" s="70" t="n">
        <x:f>IF(D170=0,"",100*I170/D170)</x:f>
        <x:v>100</x:v>
      </x:c>
      <x:c r="K170" s="72" t="n">
        <x:v>935.45001</x:v>
      </x:c>
      <x:c r="L170" s="72" t="n">
        <x:v>0</x:v>
      </x:c>
      <x:c r="M170" s="72" t="n">
        <x:f>L170-K170</x:f>
        <x:v>-935.45001</x:v>
      </x:c>
      <x:c r="N170" s="72" t="n">
        <x:f>ABS(M170)</x:f>
        <x:v>935.45001</x:v>
      </x:c>
      <x:c r="O170" s="68" t="n">
        <x:f>G170-D170</x:f>
        <x:v>187</x:v>
      </x:c>
    </x:row>
    <x:row r="171" ht="22" customHeight="1">
      <x:c r="A171" s="68" t="str">
        <x:v>UP</x:v>
      </x:c>
      <x:c r="B171" s="68" t="str">
        <x:v>2026-02-14</x:v>
      </x:c>
      <x:c r="C171" s="68" t="str">
        <x:v>양산휴게소</x:v>
      </x:c>
      <x:c r="D171" s="68" t="n">
        <x:v>9</x:v>
      </x:c>
      <x:c r="E171" s="68" t="n">
        <x:v>0</x:v>
      </x:c>
      <x:c r="F171" s="68" t="n">
        <x:v>21</x:v>
      </x:c>
      <x:c r="G171" s="68" t="n">
        <x:v>21</x:v>
      </x:c>
      <x:c r="H171" s="68" t="n">
        <x:f>E171-D171</x:f>
        <x:v>-9</x:v>
      </x:c>
      <x:c r="I171" s="68" t="n">
        <x:f>ABS(H171)</x:f>
        <x:v>9</x:v>
      </x:c>
      <x:c r="J171" s="70" t="n">
        <x:f>IF(D171=0,"",100*I171/D171)</x:f>
        <x:v>100</x:v>
      </x:c>
      <x:c r="K171" s="72" t="n">
        <x:v>318.63333</x:v>
      </x:c>
      <x:c r="L171" s="72" t="n">
        <x:v>0</x:v>
      </x:c>
      <x:c r="M171" s="72" t="n">
        <x:f>L171-K171</x:f>
        <x:v>-318.63333</x:v>
      </x:c>
      <x:c r="N171" s="72" t="n">
        <x:f>ABS(M171)</x:f>
        <x:v>318.63333</x:v>
      </x:c>
      <x:c r="O171" s="68" t="n">
        <x:f>G171-D171</x:f>
        <x:v>12</x:v>
      </x:c>
    </x:row>
    <x:row r="172" ht="22" customHeight="1">
      <x:c r="A172" s="68" t="str">
        <x:v>UP</x:v>
      </x:c>
      <x:c r="B172" s="68" t="str">
        <x:v>2026-02-14</x:v>
      </x:c>
      <x:c r="C172" s="68" t="str">
        <x:v>언양휴게소</x:v>
      </x:c>
      <x:c r="D172" s="68" t="n">
        <x:v>2</x:v>
      </x:c>
      <x:c r="E172" s="68" t="n">
        <x:v>6</x:v>
      </x:c>
      <x:c r="F172" s="68" t="n">
        <x:v>286</x:v>
      </x:c>
      <x:c r="G172" s="68" t="n">
        <x:v>292</x:v>
      </x:c>
      <x:c r="H172" s="68" t="n">
        <x:f>E172-D172</x:f>
        <x:v>4</x:v>
      </x:c>
      <x:c r="I172" s="68" t="n">
        <x:f>ABS(H172)</x:f>
        <x:v>4</x:v>
      </x:c>
      <x:c r="J172" s="70" t="n">
        <x:f>IF(D172=0,"",100*I172/D172)</x:f>
        <x:v>200</x:v>
      </x:c>
      <x:c r="K172" s="72" t="n">
        <x:v>46.5</x:v>
      </x:c>
      <x:c r="L172" s="72" t="n">
        <x:v>56.323167</x:v>
      </x:c>
      <x:c r="M172" s="72" t="n">
        <x:f>L172-K172</x:f>
        <x:v>9.823166999999998</x:v>
      </x:c>
      <x:c r="N172" s="72" t="n">
        <x:f>ABS(M172)</x:f>
        <x:v>9.823166999999998</x:v>
      </x:c>
      <x:c r="O172" s="68" t="n">
        <x:f>G172-D172</x:f>
        <x:v>290</x:v>
      </x:c>
    </x:row>
    <x:row r="173" ht="22" customHeight="1">
      <x:c r="A173" s="68" t="str">
        <x:v>UP</x:v>
      </x:c>
      <x:c r="B173" s="68" t="str">
        <x:v>2026-02-14</x:v>
      </x:c>
      <x:c r="C173" s="68" t="str">
        <x:v>입장거봉포도휴게소</x:v>
      </x:c>
      <x:c r="D173" s="68" t="n">
        <x:v>31</x:v>
      </x:c>
      <x:c r="E173" s="68" t="n">
        <x:v>51</x:v>
      </x:c>
      <x:c r="F173" s="68" t="n">
        <x:v>0</x:v>
      </x:c>
      <x:c r="G173" s="68" t="n">
        <x:v>51</x:v>
      </x:c>
      <x:c r="H173" s="68" t="n">
        <x:f>E173-D173</x:f>
        <x:v>20</x:v>
      </x:c>
      <x:c r="I173" s="68" t="n">
        <x:f>ABS(H173)</x:f>
        <x:v>20</x:v>
      </x:c>
      <x:c r="J173" s="70" t="n">
        <x:f>IF(D173=0,"",100*I173/D173)</x:f>
        <x:v>64.51612903225806</x:v>
      </x:c>
      <x:c r="K173" s="72" t="n">
        <x:v>757.03335</x:v>
      </x:c>
      <x:c r="L173" s="72" t="n">
        <x:v>316.226676</x:v>
      </x:c>
      <x:c r="M173" s="72" t="n">
        <x:f>L173-K173</x:f>
        <x:v>-440.80667400000004</x:v>
      </x:c>
      <x:c r="N173" s="72" t="n">
        <x:f>ABS(M173)</x:f>
        <x:v>440.80667400000004</x:v>
      </x:c>
      <x:c r="O173" s="68" t="n">
        <x:f>G173-D173</x:f>
        <x:v>20</x:v>
      </x:c>
    </x:row>
    <x:row r="174" ht="22" customHeight="1">
      <x:c r="A174" s="68" t="str">
        <x:v>UP</x:v>
      </x:c>
      <x:c r="B174" s="68" t="str">
        <x:v>2026-02-14</x:v>
      </x:c>
      <x:c r="C174" s="68" t="str">
        <x:v>죽암휴게소</x:v>
      </x:c>
      <x:c r="D174" s="68" t="n">
        <x:v>58</x:v>
      </x:c>
      <x:c r="E174" s="68" t="n">
        <x:v>0</x:v>
      </x:c>
      <x:c r="F174" s="68" t="n">
        <x:v>0</x:v>
      </x:c>
      <x:c r="G174" s="68" t="n">
        <x:v>0</x:v>
      </x:c>
      <x:c r="H174" s="68" t="n">
        <x:f>E174-D174</x:f>
        <x:v>-58</x:v>
      </x:c>
      <x:c r="I174" s="68" t="n">
        <x:f>ABS(H174)</x:f>
        <x:v>58</x:v>
      </x:c>
      <x:c r="J174" s="70" t="n">
        <x:f>IF(D174=0,"",100*I174/D174)</x:f>
        <x:v>100</x:v>
      </x:c>
      <x:c r="K174" s="72" t="n">
        <x:v>1532.83332</x:v>
      </x:c>
      <x:c r="L174" s="72" t="n">
        <x:v>0</x:v>
      </x:c>
      <x:c r="M174" s="72" t="n">
        <x:f>L174-K174</x:f>
        <x:v>-1532.83332</x:v>
      </x:c>
      <x:c r="N174" s="72" t="n">
        <x:f>ABS(M174)</x:f>
        <x:v>1532.83332</x:v>
      </x:c>
      <x:c r="O174" s="68" t="n">
        <x:f>G174-D174</x:f>
        <x:v>-58</x:v>
      </x:c>
    </x:row>
    <x:row r="175" ht="22" customHeight="1">
      <x:c r="A175" s="68" t="str">
        <x:v>UP</x:v>
      </x:c>
      <x:c r="B175" s="68" t="str">
        <x:v>2026-02-14</x:v>
      </x:c>
      <x:c r="C175" s="68" t="str">
        <x:v>죽전휴게소</x:v>
      </x:c>
      <x:c r="D175" s="68" t="n">
        <x:v>73</x:v>
      </x:c>
      <x:c r="E175" s="68" t="n">
        <x:v>3</x:v>
      </x:c>
      <x:c r="F175" s="68" t="n">
        <x:v>0</x:v>
      </x:c>
      <x:c r="G175" s="68" t="n">
        <x:v>3</x:v>
      </x:c>
      <x:c r="H175" s="68" t="n">
        <x:f>E175-D175</x:f>
        <x:v>-70</x:v>
      </x:c>
      <x:c r="I175" s="68" t="n">
        <x:f>ABS(H175)</x:f>
        <x:v>70</x:v>
      </x:c>
      <x:c r="J175" s="70" t="n">
        <x:f>IF(D175=0,"",100*I175/D175)</x:f>
        <x:v>95.89041095890411</x:v>
      </x:c>
      <x:c r="K175" s="72" t="n">
        <x:v>1854.91664</x:v>
      </x:c>
      <x:c r="L175" s="72" t="n">
        <x:v>2.484041</x:v>
      </x:c>
      <x:c r="M175" s="72" t="n">
        <x:f>L175-K175</x:f>
        <x:v>-1852.432599</x:v>
      </x:c>
      <x:c r="N175" s="72" t="n">
        <x:f>ABS(M175)</x:f>
        <x:v>1852.432599</x:v>
      </x:c>
      <x:c r="O175" s="68" t="n">
        <x:f>G175-D175</x:f>
        <x:v>-70</x:v>
      </x:c>
    </x:row>
    <x:row r="176" ht="22" customHeight="1">
      <x:c r="A176" s="68" t="str">
        <x:v>UP</x:v>
      </x:c>
      <x:c r="B176" s="68" t="str">
        <x:v>2026-02-14</x:v>
      </x:c>
      <x:c r="C176" s="68" t="str">
        <x:v>천안삼거리휴게소</x:v>
      </x:c>
      <x:c r="D176" s="68" t="n">
        <x:v>83</x:v>
      </x:c>
      <x:c r="E176" s="68" t="n">
        <x:v>49</x:v>
      </x:c>
      <x:c r="F176" s="68" t="n">
        <x:v>0</x:v>
      </x:c>
      <x:c r="G176" s="68" t="n">
        <x:v>49</x:v>
      </x:c>
      <x:c r="H176" s="68" t="n">
        <x:f>E176-D176</x:f>
        <x:v>-34</x:v>
      </x:c>
      <x:c r="I176" s="68" t="n">
        <x:f>ABS(H176)</x:f>
        <x:v>34</x:v>
      </x:c>
      <x:c r="J176" s="70" t="n">
        <x:f>IF(D176=0,"",100*I176/D176)</x:f>
        <x:v>40.963855421686745</x:v>
      </x:c>
      <x:c r="K176" s="72" t="n">
        <x:v>2206.74998</x:v>
      </x:c>
      <x:c r="L176" s="72" t="n">
        <x:v>547.465218</x:v>
      </x:c>
      <x:c r="M176" s="72" t="n">
        <x:f>L176-K176</x:f>
        <x:v>-1659.284762</x:v>
      </x:c>
      <x:c r="N176" s="72" t="n">
        <x:f>ABS(M176)</x:f>
        <x:v>1659.284762</x:v>
      </x:c>
      <x:c r="O176" s="68" t="n">
        <x:f>G176-D176</x:f>
        <x:v>-34</x:v>
      </x:c>
    </x:row>
    <x:row r="177" ht="22" customHeight="1">
      <x:c r="A177" s="68" t="str">
        <x:v>UP</x:v>
      </x:c>
      <x:c r="B177" s="68" t="str">
        <x:v>2026-02-14</x:v>
      </x:c>
      <x:c r="C177" s="68" t="str">
        <x:v>청주휴게소</x:v>
      </x:c>
      <x:c r="D177" s="68" t="n">
        <x:v>18</x:v>
      </x:c>
      <x:c r="E177" s="68" t="n">
        <x:v>0</x:v>
      </x:c>
      <x:c r="F177" s="68" t="n">
        <x:v>59</x:v>
      </x:c>
      <x:c r="G177" s="68" t="n">
        <x:v>59</x:v>
      </x:c>
      <x:c r="H177" s="68" t="n">
        <x:f>E177-D177</x:f>
        <x:v>-18</x:v>
      </x:c>
      <x:c r="I177" s="68" t="n">
        <x:f>ABS(H177)</x:f>
        <x:v>18</x:v>
      </x:c>
      <x:c r="J177" s="70" t="n">
        <x:f>IF(D177=0,"",100*I177/D177)</x:f>
        <x:v>100</x:v>
      </x:c>
      <x:c r="K177" s="72" t="n">
        <x:v>510.26668</x:v>
      </x:c>
      <x:c r="L177" s="72" t="n">
        <x:v>0</x:v>
      </x:c>
      <x:c r="M177" s="72" t="n">
        <x:f>L177-K177</x:f>
        <x:v>-510.26668</x:v>
      </x:c>
      <x:c r="N177" s="72" t="n">
        <x:f>ABS(M177)</x:f>
        <x:v>510.26668</x:v>
      </x:c>
      <x:c r="O177" s="68" t="n">
        <x:f>G177-D177</x:f>
        <x:v>41</x:v>
      </x:c>
    </x:row>
    <x:row r="178" ht="22" customHeight="1">
      <x:c r="A178" s="68" t="str">
        <x:v>UP</x:v>
      </x:c>
      <x:c r="B178" s="68" t="str">
        <x:v>2026-02-14</x:v>
      </x:c>
      <x:c r="C178" s="68" t="str">
        <x:v>추풍령휴게소</x:v>
      </x:c>
      <x:c r="D178" s="68" t="n">
        <x:v>23</x:v>
      </x:c>
      <x:c r="E178" s="68" t="n">
        <x:v>89</x:v>
      </x:c>
      <x:c r="F178" s="68" t="n">
        <x:v>13</x:v>
      </x:c>
      <x:c r="G178" s="68" t="n">
        <x:v>102</x:v>
      </x:c>
      <x:c r="H178" s="68" t="n">
        <x:f>E178-D178</x:f>
        <x:v>66</x:v>
      </x:c>
      <x:c r="I178" s="68" t="n">
        <x:f>ABS(H178)</x:f>
        <x:v>66</x:v>
      </x:c>
      <x:c r="J178" s="70" t="n">
        <x:f>IF(D178=0,"",100*I178/D178)</x:f>
        <x:v>286.95652173913044</x:v>
      </x:c>
      <x:c r="K178" s="72" t="n">
        <x:v>614.21665</x:v>
      </x:c>
      <x:c r="L178" s="72" t="n">
        <x:v>817.26579</x:v>
      </x:c>
      <x:c r="M178" s="72" t="n">
        <x:f>L178-K178</x:f>
        <x:v>203.04914000000008</x:v>
      </x:c>
      <x:c r="N178" s="72" t="n">
        <x:f>ABS(M178)</x:f>
        <x:v>203.04914000000008</x:v>
      </x:c>
      <x:c r="O178" s="68" t="n">
        <x:f>G178-D178</x:f>
        <x:v>79</x:v>
      </x:c>
    </x:row>
    <x:row r="179" ht="22" customHeight="1">
      <x:c r="A179" s="68" t="str">
        <x:v>UP</x:v>
      </x:c>
      <x:c r="B179" s="68" t="str">
        <x:v>2026-02-14</x:v>
      </x:c>
      <x:c r="C179" s="68" t="str">
        <x:v>황간휴게소</x:v>
      </x:c>
      <x:c r="D179" s="68" t="n">
        <x:v>21</x:v>
      </x:c>
      <x:c r="E179" s="68" t="n">
        <x:v>28</x:v>
      </x:c>
      <x:c r="F179" s="68" t="n">
        <x:v>0</x:v>
      </x:c>
      <x:c r="G179" s="68" t="n">
        <x:v>28</x:v>
      </x:c>
      <x:c r="H179" s="68" t="n">
        <x:f>E179-D179</x:f>
        <x:v>7</x:v>
      </x:c>
      <x:c r="I179" s="68" t="n">
        <x:f>ABS(H179)</x:f>
        <x:v>7</x:v>
      </x:c>
      <x:c r="J179" s="70" t="n">
        <x:f>IF(D179=0,"",100*I179/D179)</x:f>
        <x:v>33.333333333333336</x:v>
      </x:c>
      <x:c r="K179" s="72" t="n">
        <x:v>410.76669</x:v>
      </x:c>
      <x:c r="L179" s="72" t="n">
        <x:v>339.354335</x:v>
      </x:c>
      <x:c r="M179" s="72" t="n">
        <x:f>L179-K179</x:f>
        <x:v>-71.41235499999999</x:v>
      </x:c>
      <x:c r="N179" s="72" t="n">
        <x:f>ABS(M179)</x:f>
        <x:v>71.41235499999999</x:v>
      </x:c>
      <x:c r="O179" s="68" t="n">
        <x:f>G179-D179</x:f>
        <x:v>7</x:v>
      </x:c>
    </x:row>
    <x:row r="180" ht="22" customHeight="1">
      <x:c r="A180" s="68" t="str">
        <x:v>UP</x:v>
      </x:c>
      <x:c r="B180" s="68" t="str">
        <x:v>2026-02-15</x:v>
      </x:c>
      <x:c r="C180" s="68" t="str">
        <x:v>건천휴게소</x:v>
      </x:c>
      <x:c r="D180" s="68" t="n">
        <x:v>50</x:v>
      </x:c>
      <x:c r="E180" s="68" t="n">
        <x:v>35</x:v>
      </x:c>
      <x:c r="F180" s="68" t="n">
        <x:v>0</x:v>
      </x:c>
      <x:c r="G180" s="68" t="n">
        <x:v>35</x:v>
      </x:c>
      <x:c r="H180" s="68" t="n">
        <x:f>E180-D180</x:f>
        <x:v>-15</x:v>
      </x:c>
      <x:c r="I180" s="68" t="n">
        <x:f>ABS(H180)</x:f>
        <x:v>15</x:v>
      </x:c>
      <x:c r="J180" s="70" t="n">
        <x:f>IF(D180=0,"",100*I180/D180)</x:f>
        <x:v>30</x:v>
      </x:c>
      <x:c r="K180" s="72" t="n">
        <x:v>1357.31666</x:v>
      </x:c>
      <x:c r="L180" s="72" t="n">
        <x:v>826.271431</x:v>
      </x:c>
      <x:c r="M180" s="72" t="n">
        <x:f>L180-K180</x:f>
        <x:v>-531.045229</x:v>
      </x:c>
      <x:c r="N180" s="72" t="n">
        <x:f>ABS(M180)</x:f>
        <x:v>531.045229</x:v>
      </x:c>
      <x:c r="O180" s="68" t="n">
        <x:f>G180-D180</x:f>
        <x:v>-15</x:v>
      </x:c>
    </x:row>
    <x:row r="181" ht="22" customHeight="1">
      <x:c r="A181" s="68" t="str">
        <x:v>UP</x:v>
      </x:c>
      <x:c r="B181" s="68" t="str">
        <x:v>2026-02-15</x:v>
      </x:c>
      <x:c r="C181" s="68" t="str">
        <x:v>경산휴게소</x:v>
      </x:c>
      <x:c r="D181" s="68" t="n">
        <x:v>35</x:v>
      </x:c>
      <x:c r="E181" s="68" t="n">
        <x:v>48</x:v>
      </x:c>
      <x:c r="F181" s="68" t="n">
        <x:v>0</x:v>
      </x:c>
      <x:c r="G181" s="68" t="n">
        <x:v>48</x:v>
      </x:c>
      <x:c r="H181" s="68" t="n">
        <x:f>E181-D181</x:f>
        <x:v>13</x:v>
      </x:c>
      <x:c r="I181" s="68" t="n">
        <x:f>ABS(H181)</x:f>
        <x:v>13</x:v>
      </x:c>
      <x:c r="J181" s="70" t="n">
        <x:f>IF(D181=0,"",100*I181/D181)</x:f>
        <x:v>37.142857142857146</x:v>
      </x:c>
      <x:c r="K181" s="72" t="n">
        <x:v>814.21667</x:v>
      </x:c>
      <x:c r="L181" s="72" t="n">
        <x:v>1075.094752</x:v>
      </x:c>
      <x:c r="M181" s="72" t="n">
        <x:f>L181-K181</x:f>
        <x:v>260.87808199999995</x:v>
      </x:c>
      <x:c r="N181" s="72" t="n">
        <x:f>ABS(M181)</x:f>
        <x:v>260.87808199999995</x:v>
      </x:c>
      <x:c r="O181" s="68" t="n">
        <x:f>G181-D181</x:f>
        <x:v>13</x:v>
      </x:c>
    </x:row>
    <x:row r="182" ht="22" customHeight="1">
      <x:c r="A182" s="68" t="str">
        <x:v>UP</x:v>
      </x:c>
      <x:c r="B182" s="68" t="str">
        <x:v>2026-02-15</x:v>
      </x:c>
      <x:c r="C182" s="68" t="str">
        <x:v>김천휴게소</x:v>
      </x:c>
      <x:c r="D182" s="68" t="n">
        <x:v>10</x:v>
      </x:c>
      <x:c r="E182" s="68" t="n">
        <x:v>0</x:v>
      </x:c>
      <x:c r="F182" s="68" t="n">
        <x:v>80</x:v>
      </x:c>
      <x:c r="G182" s="68" t="n">
        <x:v>80</x:v>
      </x:c>
      <x:c r="H182" s="68" t="n">
        <x:f>E182-D182</x:f>
        <x:v>-10</x:v>
      </x:c>
      <x:c r="I182" s="68" t="n">
        <x:f>ABS(H182)</x:f>
        <x:v>10</x:v>
      </x:c>
      <x:c r="J182" s="70" t="n">
        <x:f>IF(D182=0,"",100*I182/D182)</x:f>
        <x:v>100</x:v>
      </x:c>
      <x:c r="K182" s="72" t="n">
        <x:v>1203.1</x:v>
      </x:c>
      <x:c r="L182" s="72" t="n">
        <x:v>0</x:v>
      </x:c>
      <x:c r="M182" s="72" t="n">
        <x:f>L182-K182</x:f>
        <x:v>-1203.1</x:v>
      </x:c>
      <x:c r="N182" s="72" t="n">
        <x:f>ABS(M182)</x:f>
        <x:v>1203.1</x:v>
      </x:c>
      <x:c r="O182" s="68" t="n">
        <x:f>G182-D182</x:f>
        <x:v>70</x:v>
      </x:c>
    </x:row>
    <x:row r="183" ht="22" customHeight="1">
      <x:c r="A183" s="68" t="str">
        <x:v>UP</x:v>
      </x:c>
      <x:c r="B183" s="68" t="str">
        <x:v>2026-02-15</x:v>
      </x:c>
      <x:c r="C183" s="68" t="str">
        <x:v>신탄진휴게소</x:v>
      </x:c>
      <x:c r="D183" s="68" t="n">
        <x:v>74</x:v>
      </x:c>
      <x:c r="E183" s="68" t="n">
        <x:v>80</x:v>
      </x:c>
      <x:c r="F183" s="68" t="n">
        <x:v>7</x:v>
      </x:c>
      <x:c r="G183" s="68" t="n">
        <x:v>87</x:v>
      </x:c>
      <x:c r="H183" s="68" t="n">
        <x:f>E183-D183</x:f>
        <x:v>6</x:v>
      </x:c>
      <x:c r="I183" s="68" t="n">
        <x:f>ABS(H183)</x:f>
        <x:v>6</x:v>
      </x:c>
      <x:c r="J183" s="70" t="n">
        <x:f>IF(D183=0,"",100*I183/D183)</x:f>
        <x:v>8.108108108108109</x:v>
      </x:c>
      <x:c r="K183" s="72" t="n">
        <x:v>1940.43334</x:v>
      </x:c>
      <x:c r="L183" s="72" t="n">
        <x:v>476.404487</x:v>
      </x:c>
      <x:c r="M183" s="72" t="n">
        <x:f>L183-K183</x:f>
        <x:v>-1464.028853</x:v>
      </x:c>
      <x:c r="N183" s="72" t="n">
        <x:f>ABS(M183)</x:f>
        <x:v>1464.028853</x:v>
      </x:c>
      <x:c r="O183" s="68" t="n">
        <x:f>G183-D183</x:f>
        <x:v>13</x:v>
      </x:c>
    </x:row>
    <x:row r="184" ht="22" customHeight="1">
      <x:c r="A184" s="68" t="str">
        <x:v>UP</x:v>
      </x:c>
      <x:c r="B184" s="68" t="str">
        <x:v>2026-02-15</x:v>
      </x:c>
      <x:c r="C184" s="68" t="str">
        <x:v>안성휴게소</x:v>
      </x:c>
      <x:c r="D184" s="68" t="n">
        <x:v>46</x:v>
      </x:c>
      <x:c r="E184" s="68" t="n">
        <x:v>0</x:v>
      </x:c>
      <x:c r="F184" s="68" t="n">
        <x:v>248</x:v>
      </x:c>
      <x:c r="G184" s="68" t="n">
        <x:v>248</x:v>
      </x:c>
      <x:c r="H184" s="68" t="n">
        <x:f>E184-D184</x:f>
        <x:v>-46</x:v>
      </x:c>
      <x:c r="I184" s="68" t="n">
        <x:f>ABS(H184)</x:f>
        <x:v>46</x:v>
      </x:c>
      <x:c r="J184" s="70" t="n">
        <x:f>IF(D184=0,"",100*I184/D184)</x:f>
        <x:v>100</x:v>
      </x:c>
      <x:c r="K184" s="72" t="n">
        <x:v>1202.69997</x:v>
      </x:c>
      <x:c r="L184" s="72" t="n">
        <x:v>0</x:v>
      </x:c>
      <x:c r="M184" s="72" t="n">
        <x:f>L184-K184</x:f>
        <x:v>-1202.69997</x:v>
      </x:c>
      <x:c r="N184" s="72" t="n">
        <x:f>ABS(M184)</x:f>
        <x:v>1202.69997</x:v>
      </x:c>
      <x:c r="O184" s="68" t="n">
        <x:f>G184-D184</x:f>
        <x:v>202</x:v>
      </x:c>
    </x:row>
    <x:row r="185" ht="22" customHeight="1">
      <x:c r="A185" s="68" t="str">
        <x:v>UP</x:v>
      </x:c>
      <x:c r="B185" s="68" t="str">
        <x:v>2026-02-15</x:v>
      </x:c>
      <x:c r="C185" s="68" t="str">
        <x:v>양산휴게소</x:v>
      </x:c>
      <x:c r="D185" s="68" t="n">
        <x:v>5</x:v>
      </x:c>
      <x:c r="E185" s="68" t="n">
        <x:v>0</x:v>
      </x:c>
      <x:c r="F185" s="68" t="n">
        <x:v>33</x:v>
      </x:c>
      <x:c r="G185" s="68" t="n">
        <x:v>33</x:v>
      </x:c>
      <x:c r="H185" s="68" t="n">
        <x:f>E185-D185</x:f>
        <x:v>-5</x:v>
      </x:c>
      <x:c r="I185" s="68" t="n">
        <x:f>ABS(H185)</x:f>
        <x:v>5</x:v>
      </x:c>
      <x:c r="J185" s="70" t="n">
        <x:f>IF(D185=0,"",100*I185/D185)</x:f>
        <x:v>100</x:v>
      </x:c>
      <x:c r="K185" s="72" t="n">
        <x:v>131.91667</x:v>
      </x:c>
      <x:c r="L185" s="72" t="n">
        <x:v>0</x:v>
      </x:c>
      <x:c r="M185" s="72" t="n">
        <x:f>L185-K185</x:f>
        <x:v>-131.91667</x:v>
      </x:c>
      <x:c r="N185" s="72" t="n">
        <x:f>ABS(M185)</x:f>
        <x:v>131.91667</x:v>
      </x:c>
      <x:c r="O185" s="68" t="n">
        <x:f>G185-D185</x:f>
        <x:v>28</x:v>
      </x:c>
    </x:row>
    <x:row r="186" ht="22" customHeight="1">
      <x:c r="A186" s="68" t="str">
        <x:v>UP</x:v>
      </x:c>
      <x:c r="B186" s="68" t="str">
        <x:v>2026-02-15</x:v>
      </x:c>
      <x:c r="C186" s="68" t="str">
        <x:v>언양휴게소</x:v>
      </x:c>
      <x:c r="D186" s="68" t="n">
        <x:v>5</x:v>
      </x:c>
      <x:c r="E186" s="68" t="n">
        <x:v>7</x:v>
      </x:c>
      <x:c r="F186" s="68" t="n">
        <x:v>311</x:v>
      </x:c>
      <x:c r="G186" s="68" t="n">
        <x:v>318</x:v>
      </x:c>
      <x:c r="H186" s="68" t="n">
        <x:f>E186-D186</x:f>
        <x:v>2</x:v>
      </x:c>
      <x:c r="I186" s="68" t="n">
        <x:f>ABS(H186)</x:f>
        <x:v>2</x:v>
      </x:c>
      <x:c r="J186" s="70" t="n">
        <x:f>IF(D186=0,"",100*I186/D186)</x:f>
        <x:v>40</x:v>
      </x:c>
      <x:c r="K186" s="72" t="n">
        <x:v>135.28332</x:v>
      </x:c>
      <x:c r="L186" s="72" t="n">
        <x:v>146.078868</x:v>
      </x:c>
      <x:c r="M186" s="72" t="n">
        <x:f>L186-K186</x:f>
        <x:v>10.795547999999997</x:v>
      </x:c>
      <x:c r="N186" s="72" t="n">
        <x:f>ABS(M186)</x:f>
        <x:v>10.795547999999997</x:v>
      </x:c>
      <x:c r="O186" s="68" t="n">
        <x:f>G186-D186</x:f>
        <x:v>313</x:v>
      </x:c>
    </x:row>
    <x:row r="187" ht="22" customHeight="1">
      <x:c r="A187" s="68" t="str">
        <x:v>UP</x:v>
      </x:c>
      <x:c r="B187" s="68" t="str">
        <x:v>2026-02-15</x:v>
      </x:c>
      <x:c r="C187" s="68" t="str">
        <x:v>입장거봉포도휴게소</x:v>
      </x:c>
      <x:c r="D187" s="68" t="n">
        <x:v>39</x:v>
      </x:c>
      <x:c r="E187" s="68" t="n">
        <x:v>52</x:v>
      </x:c>
      <x:c r="F187" s="68" t="n">
        <x:v>0</x:v>
      </x:c>
      <x:c r="G187" s="68" t="n">
        <x:v>52</x:v>
      </x:c>
      <x:c r="H187" s="68" t="n">
        <x:f>E187-D187</x:f>
        <x:v>13</x:v>
      </x:c>
      <x:c r="I187" s="68" t="n">
        <x:f>ABS(H187)</x:f>
        <x:v>13</x:v>
      </x:c>
      <x:c r="J187" s="70" t="n">
        <x:f>IF(D187=0,"",100*I187/D187)</x:f>
        <x:v>33.333333333333336</x:v>
      </x:c>
      <x:c r="K187" s="72" t="n">
        <x:v>1018.51668</x:v>
      </x:c>
      <x:c r="L187" s="72" t="n">
        <x:v>252.306959</x:v>
      </x:c>
      <x:c r="M187" s="72" t="n">
        <x:f>L187-K187</x:f>
        <x:v>-766.209721</x:v>
      </x:c>
      <x:c r="N187" s="72" t="n">
        <x:f>ABS(M187)</x:f>
        <x:v>766.209721</x:v>
      </x:c>
      <x:c r="O187" s="68" t="n">
        <x:f>G187-D187</x:f>
        <x:v>13</x:v>
      </x:c>
    </x:row>
    <x:row r="188" ht="22" customHeight="1">
      <x:c r="A188" s="68" t="str">
        <x:v>UP</x:v>
      </x:c>
      <x:c r="B188" s="68" t="str">
        <x:v>2026-02-15</x:v>
      </x:c>
      <x:c r="C188" s="68" t="str">
        <x:v>죽암휴게소</x:v>
      </x:c>
      <x:c r="D188" s="68" t="n">
        <x:v>52</x:v>
      </x:c>
      <x:c r="E188" s="68" t="n">
        <x:v>0</x:v>
      </x:c>
      <x:c r="F188" s="68" t="n">
        <x:v>0</x:v>
      </x:c>
      <x:c r="G188" s="68" t="n">
        <x:v>0</x:v>
      </x:c>
      <x:c r="H188" s="68" t="n">
        <x:f>E188-D188</x:f>
        <x:v>-52</x:v>
      </x:c>
      <x:c r="I188" s="68" t="n">
        <x:f>ABS(H188)</x:f>
        <x:v>52</x:v>
      </x:c>
      <x:c r="J188" s="70" t="n">
        <x:f>IF(D188=0,"",100*I188/D188)</x:f>
        <x:v>100</x:v>
      </x:c>
      <x:c r="K188" s="72" t="n">
        <x:v>1312.85</x:v>
      </x:c>
      <x:c r="L188" s="72" t="n">
        <x:v>0</x:v>
      </x:c>
      <x:c r="M188" s="72" t="n">
        <x:f>L188-K188</x:f>
        <x:v>-1312.85</x:v>
      </x:c>
      <x:c r="N188" s="72" t="n">
        <x:f>ABS(M188)</x:f>
        <x:v>1312.85</x:v>
      </x:c>
      <x:c r="O188" s="68" t="n">
        <x:f>G188-D188</x:f>
        <x:v>-52</x:v>
      </x:c>
    </x:row>
    <x:row r="189" ht="22" customHeight="1">
      <x:c r="A189" s="68" t="str">
        <x:v>UP</x:v>
      </x:c>
      <x:c r="B189" s="68" t="str">
        <x:v>2026-02-15</x:v>
      </x:c>
      <x:c r="C189" s="68" t="str">
        <x:v>죽전휴게소</x:v>
      </x:c>
      <x:c r="D189" s="68" t="n">
        <x:v>67</x:v>
      </x:c>
      <x:c r="E189" s="68" t="n">
        <x:v>0</x:v>
      </x:c>
      <x:c r="F189" s="68" t="n">
        <x:v>0</x:v>
      </x:c>
      <x:c r="G189" s="68" t="n">
        <x:v>0</x:v>
      </x:c>
      <x:c r="H189" s="68" t="n">
        <x:f>E189-D189</x:f>
        <x:v>-67</x:v>
      </x:c>
      <x:c r="I189" s="68" t="n">
        <x:f>ABS(H189)</x:f>
        <x:v>67</x:v>
      </x:c>
      <x:c r="J189" s="70" t="n">
        <x:f>IF(D189=0,"",100*I189/D189)</x:f>
        <x:v>100</x:v>
      </x:c>
      <x:c r="K189" s="72" t="n">
        <x:v>1478.26668</x:v>
      </x:c>
      <x:c r="L189" s="72" t="n">
        <x:v>0</x:v>
      </x:c>
      <x:c r="M189" s="72" t="n">
        <x:f>L189-K189</x:f>
        <x:v>-1478.26668</x:v>
      </x:c>
      <x:c r="N189" s="72" t="n">
        <x:f>ABS(M189)</x:f>
        <x:v>1478.26668</x:v>
      </x:c>
      <x:c r="O189" s="68" t="n">
        <x:f>G189-D189</x:f>
        <x:v>-67</x:v>
      </x:c>
    </x:row>
    <x:row r="190" ht="22" customHeight="1">
      <x:c r="A190" s="68" t="str">
        <x:v>UP</x:v>
      </x:c>
      <x:c r="B190" s="68" t="str">
        <x:v>2026-02-15</x:v>
      </x:c>
      <x:c r="C190" s="68" t="str">
        <x:v>천안삼거리휴게소</x:v>
      </x:c>
      <x:c r="D190" s="68" t="n">
        <x:v>90</x:v>
      </x:c>
      <x:c r="E190" s="68" t="n">
        <x:v>50</x:v>
      </x:c>
      <x:c r="F190" s="68" t="n">
        <x:v>0</x:v>
      </x:c>
      <x:c r="G190" s="68" t="n">
        <x:v>50</x:v>
      </x:c>
      <x:c r="H190" s="68" t="n">
        <x:f>E190-D190</x:f>
        <x:v>-40</x:v>
      </x:c>
      <x:c r="I190" s="68" t="n">
        <x:f>ABS(H190)</x:f>
        <x:v>40</x:v>
      </x:c>
      <x:c r="J190" s="70" t="n">
        <x:f>IF(D190=0,"",100*I190/D190)</x:f>
        <x:v>44.44444444444444</x:v>
      </x:c>
      <x:c r="K190" s="72" t="n">
        <x:v>2332.89999</x:v>
      </x:c>
      <x:c r="L190" s="72" t="n">
        <x:v>553.38358</x:v>
      </x:c>
      <x:c r="M190" s="72" t="n">
        <x:f>L190-K190</x:f>
        <x:v>-1779.5164099999997</x:v>
      </x:c>
      <x:c r="N190" s="72" t="n">
        <x:f>ABS(M190)</x:f>
        <x:v>1779.5164099999997</x:v>
      </x:c>
      <x:c r="O190" s="68" t="n">
        <x:f>G190-D190</x:f>
        <x:v>-40</x:v>
      </x:c>
    </x:row>
    <x:row r="191" ht="22" customHeight="1">
      <x:c r="A191" s="68" t="str">
        <x:v>UP</x:v>
      </x:c>
      <x:c r="B191" s="68" t="str">
        <x:v>2026-02-15</x:v>
      </x:c>
      <x:c r="C191" s="68" t="str">
        <x:v>청주휴게소</x:v>
      </x:c>
      <x:c r="D191" s="68" t="n">
        <x:v>24</x:v>
      </x:c>
      <x:c r="E191" s="68" t="n">
        <x:v>0</x:v>
      </x:c>
      <x:c r="F191" s="68" t="n">
        <x:v>81</x:v>
      </x:c>
      <x:c r="G191" s="68" t="n">
        <x:v>81</x:v>
      </x:c>
      <x:c r="H191" s="68" t="n">
        <x:f>E191-D191</x:f>
        <x:v>-24</x:v>
      </x:c>
      <x:c r="I191" s="68" t="n">
        <x:f>ABS(H191)</x:f>
        <x:v>24</x:v>
      </x:c>
      <x:c r="J191" s="70" t="n">
        <x:f>IF(D191=0,"",100*I191/D191)</x:f>
        <x:v>100</x:v>
      </x:c>
      <x:c r="K191" s="72" t="n">
        <x:v>556.68333</x:v>
      </x:c>
      <x:c r="L191" s="72" t="n">
        <x:v>0</x:v>
      </x:c>
      <x:c r="M191" s="72" t="n">
        <x:f>L191-K191</x:f>
        <x:v>-556.68333</x:v>
      </x:c>
      <x:c r="N191" s="72" t="n">
        <x:f>ABS(M191)</x:f>
        <x:v>556.68333</x:v>
      </x:c>
      <x:c r="O191" s="68" t="n">
        <x:f>G191-D191</x:f>
        <x:v>57</x:v>
      </x:c>
    </x:row>
    <x:row r="192" ht="22" customHeight="1">
      <x:c r="A192" s="68" t="str">
        <x:v>UP</x:v>
      </x:c>
      <x:c r="B192" s="68" t="str">
        <x:v>2026-02-15</x:v>
      </x:c>
      <x:c r="C192" s="68" t="str">
        <x:v>추풍령휴게소</x:v>
      </x:c>
      <x:c r="D192" s="68" t="n">
        <x:v>24</x:v>
      </x:c>
      <x:c r="E192" s="68" t="n">
        <x:v>90</x:v>
      </x:c>
      <x:c r="F192" s="68" t="n">
        <x:v>19</x:v>
      </x:c>
      <x:c r="G192" s="68" t="n">
        <x:v>109</x:v>
      </x:c>
      <x:c r="H192" s="68" t="n">
        <x:f>E192-D192</x:f>
        <x:v>66</x:v>
      </x:c>
      <x:c r="I192" s="68" t="n">
        <x:f>ABS(H192)</x:f>
        <x:v>66</x:v>
      </x:c>
      <x:c r="J192" s="70" t="n">
        <x:f>IF(D192=0,"",100*I192/D192)</x:f>
        <x:v>275</x:v>
      </x:c>
      <x:c r="K192" s="72" t="n">
        <x:v>508.71667</x:v>
      </x:c>
      <x:c r="L192" s="72" t="n">
        <x:v>885.678396</x:v>
      </x:c>
      <x:c r="M192" s="72" t="n">
        <x:f>L192-K192</x:f>
        <x:v>376.961726</x:v>
      </x:c>
      <x:c r="N192" s="72" t="n">
        <x:f>ABS(M192)</x:f>
        <x:v>376.961726</x:v>
      </x:c>
      <x:c r="O192" s="68" t="n">
        <x:f>G192-D192</x:f>
        <x:v>85</x:v>
      </x:c>
    </x:row>
    <x:row r="193" ht="22" customHeight="1">
      <x:c r="A193" s="68" t="str">
        <x:v>UP</x:v>
      </x:c>
      <x:c r="B193" s="68" t="str">
        <x:v>2026-02-15</x:v>
      </x:c>
      <x:c r="C193" s="68" t="str">
        <x:v>황간휴게소</x:v>
      </x:c>
      <x:c r="D193" s="68" t="n">
        <x:v>34</x:v>
      </x:c>
      <x:c r="E193" s="68" t="n">
        <x:v>37</x:v>
      </x:c>
      <x:c r="F193" s="68" t="n">
        <x:v>0</x:v>
      </x:c>
      <x:c r="G193" s="68" t="n">
        <x:v>37</x:v>
      </x:c>
      <x:c r="H193" s="68" t="n">
        <x:f>E193-D193</x:f>
        <x:v>3</x:v>
      </x:c>
      <x:c r="I193" s="68" t="n">
        <x:f>ABS(H193)</x:f>
        <x:v>3</x:v>
      </x:c>
      <x:c r="J193" s="70" t="n">
        <x:f>IF(D193=0,"",100*I193/D193)</x:f>
        <x:v>8.823529411764707</x:v>
      </x:c>
      <x:c r="K193" s="72" t="n">
        <x:v>770.19998</x:v>
      </x:c>
      <x:c r="L193" s="72" t="n">
        <x:v>433.559091</x:v>
      </x:c>
      <x:c r="M193" s="72" t="n">
        <x:f>L193-K193</x:f>
        <x:v>-336.64088899999996</x:v>
      </x:c>
      <x:c r="N193" s="72" t="n">
        <x:f>ABS(M193)</x:f>
        <x:v>336.64088899999996</x:v>
      </x:c>
      <x:c r="O193" s="68" t="n">
        <x:f>G193-D193</x:f>
        <x:v>3</x:v>
      </x:c>
    </x:row>
    <x:row r="194" ht="22" customHeight="1">
      <x:c r="A194" s="68" t="str">
        <x:v>UP</x:v>
      </x:c>
      <x:c r="B194" s="68" t="str">
        <x:v>2026-02-16</x:v>
      </x:c>
      <x:c r="C194" s="68" t="str">
        <x:v>건천휴게소</x:v>
      </x:c>
      <x:c r="D194" s="68" t="n">
        <x:v>69</x:v>
      </x:c>
      <x:c r="E194" s="68" t="n">
        <x:v>39</x:v>
      </x:c>
      <x:c r="F194" s="68" t="n">
        <x:v>0</x:v>
      </x:c>
      <x:c r="G194" s="68" t="n">
        <x:v>39</x:v>
      </x:c>
      <x:c r="H194" s="68" t="n">
        <x:f>E194-D194</x:f>
        <x:v>-30</x:v>
      </x:c>
      <x:c r="I194" s="68" t="n">
        <x:f>ABS(H194)</x:f>
        <x:v>30</x:v>
      </x:c>
      <x:c r="J194" s="70" t="n">
        <x:f>IF(D194=0,"",100*I194/D194)</x:f>
        <x:v>43.47826086956522</x:v>
      </x:c>
      <x:c r="K194" s="72" t="n">
        <x:v>1917.11666</x:v>
      </x:c>
      <x:c r="L194" s="72" t="n">
        <x:v>1007.004982</x:v>
      </x:c>
      <x:c r="M194" s="72" t="n">
        <x:f>L194-K194</x:f>
        <x:v>-910.1116779999999</x:v>
      </x:c>
      <x:c r="N194" s="72" t="n">
        <x:f>ABS(M194)</x:f>
        <x:v>910.1116779999999</x:v>
      </x:c>
      <x:c r="O194" s="68" t="n">
        <x:f>G194-D194</x:f>
        <x:v>-30</x:v>
      </x:c>
    </x:row>
    <x:row r="195" ht="22" customHeight="1">
      <x:c r="A195" s="68" t="str">
        <x:v>UP</x:v>
      </x:c>
      <x:c r="B195" s="68" t="str">
        <x:v>2026-02-16</x:v>
      </x:c>
      <x:c r="C195" s="68" t="str">
        <x:v>경산휴게소</x:v>
      </x:c>
      <x:c r="D195" s="68" t="n">
        <x:v>52</x:v>
      </x:c>
      <x:c r="E195" s="68" t="n">
        <x:v>51</x:v>
      </x:c>
      <x:c r="F195" s="68" t="n">
        <x:v>0</x:v>
      </x:c>
      <x:c r="G195" s="68" t="n">
        <x:v>51</x:v>
      </x:c>
      <x:c r="H195" s="68" t="n">
        <x:f>E195-D195</x:f>
        <x:v>-1</x:v>
      </x:c>
      <x:c r="I195" s="68" t="n">
        <x:f>ABS(H195)</x:f>
        <x:v>1</x:v>
      </x:c>
      <x:c r="J195" s="70" t="n">
        <x:f>IF(D195=0,"",100*I195/D195)</x:f>
        <x:v>1.9230769230769231</x:v>
      </x:c>
      <x:c r="K195" s="72" t="n">
        <x:v>1360.70001</x:v>
      </x:c>
      <x:c r="L195" s="72" t="n">
        <x:v>1393.121629</x:v>
      </x:c>
      <x:c r="M195" s="72" t="n">
        <x:f>L195-K195</x:f>
        <x:v>32.421618999999964</x:v>
      </x:c>
      <x:c r="N195" s="72" t="n">
        <x:f>ABS(M195)</x:f>
        <x:v>32.421618999999964</x:v>
      </x:c>
      <x:c r="O195" s="68" t="n">
        <x:f>G195-D195</x:f>
        <x:v>-1</x:v>
      </x:c>
    </x:row>
    <x:row r="196" ht="22" customHeight="1">
      <x:c r="A196" s="68" t="str">
        <x:v>UP</x:v>
      </x:c>
      <x:c r="B196" s="68" t="str">
        <x:v>2026-02-16</x:v>
      </x:c>
      <x:c r="C196" s="68" t="str">
        <x:v>김천휴게소</x:v>
      </x:c>
      <x:c r="D196" s="68" t="n">
        <x:v>9</x:v>
      </x:c>
      <x:c r="E196" s="68" t="n">
        <x:v>2</x:v>
      </x:c>
      <x:c r="F196" s="68" t="n">
        <x:v>104</x:v>
      </x:c>
      <x:c r="G196" s="68" t="n">
        <x:v>106</x:v>
      </x:c>
      <x:c r="H196" s="68" t="n">
        <x:f>E196-D196</x:f>
        <x:v>-7</x:v>
      </x:c>
      <x:c r="I196" s="68" t="n">
        <x:f>ABS(H196)</x:f>
        <x:v>7</x:v>
      </x:c>
      <x:c r="J196" s="70" t="n">
        <x:f>IF(D196=0,"",100*I196/D196)</x:f>
        <x:v>77.77777777777777</x:v>
      </x:c>
      <x:c r="K196" s="72" t="n">
        <x:v>282.49999</x:v>
      </x:c>
      <x:c r="L196" s="72" t="n">
        <x:v>13.786345</x:v>
      </x:c>
      <x:c r="M196" s="72" t="n">
        <x:f>L196-K196</x:f>
        <x:v>-268.71364500000004</x:v>
      </x:c>
      <x:c r="N196" s="72" t="n">
        <x:f>ABS(M196)</x:f>
        <x:v>268.71364500000004</x:v>
      </x:c>
      <x:c r="O196" s="68" t="n">
        <x:f>G196-D196</x:f>
        <x:v>97</x:v>
      </x:c>
    </x:row>
    <x:row r="197" ht="22" customHeight="1">
      <x:c r="A197" s="68" t="str">
        <x:v>UP</x:v>
      </x:c>
      <x:c r="B197" s="68" t="str">
        <x:v>2026-02-16</x:v>
      </x:c>
      <x:c r="C197" s="68" t="str">
        <x:v>신탄진휴게소</x:v>
      </x:c>
      <x:c r="D197" s="68" t="n">
        <x:v>98</x:v>
      </x:c>
      <x:c r="E197" s="68" t="n">
        <x:v>102</x:v>
      </x:c>
      <x:c r="F197" s="68" t="n">
        <x:v>15</x:v>
      </x:c>
      <x:c r="G197" s="68" t="n">
        <x:v>117</x:v>
      </x:c>
      <x:c r="H197" s="68" t="n">
        <x:f>E197-D197</x:f>
        <x:v>4</x:v>
      </x:c>
      <x:c r="I197" s="68" t="n">
        <x:f>ABS(H197)</x:f>
        <x:v>4</x:v>
      </x:c>
      <x:c r="J197" s="70" t="n">
        <x:f>IF(D197=0,"",100*I197/D197)</x:f>
        <x:v>4.081632653061225</x:v>
      </x:c>
      <x:c r="K197" s="72" t="n">
        <x:v>2571.83332</x:v>
      </x:c>
      <x:c r="L197" s="72" t="n">
        <x:v>746.40003</x:v>
      </x:c>
      <x:c r="M197" s="72" t="n">
        <x:f>L197-K197</x:f>
        <x:v>-1825.4332900000002</x:v>
      </x:c>
      <x:c r="N197" s="72" t="n">
        <x:f>ABS(M197)</x:f>
        <x:v>1825.4332900000002</x:v>
      </x:c>
      <x:c r="O197" s="68" t="n">
        <x:f>G197-D197</x:f>
        <x:v>19</x:v>
      </x:c>
    </x:row>
    <x:row r="198" ht="22" customHeight="1">
      <x:c r="A198" s="68" t="str">
        <x:v>UP</x:v>
      </x:c>
      <x:c r="B198" s="68" t="str">
        <x:v>2026-02-16</x:v>
      </x:c>
      <x:c r="C198" s="68" t="str">
        <x:v>안성휴게소</x:v>
      </x:c>
      <x:c r="D198" s="68" t="n">
        <x:v>45</x:v>
      </x:c>
      <x:c r="E198" s="68" t="n">
        <x:v>0</x:v>
      </x:c>
      <x:c r="F198" s="68" t="n">
        <x:v>211</x:v>
      </x:c>
      <x:c r="G198" s="68" t="n">
        <x:v>211</x:v>
      </x:c>
      <x:c r="H198" s="68" t="n">
        <x:f>E198-D198</x:f>
        <x:v>-45</x:v>
      </x:c>
      <x:c r="I198" s="68" t="n">
        <x:f>ABS(H198)</x:f>
        <x:v>45</x:v>
      </x:c>
      <x:c r="J198" s="70" t="n">
        <x:f>IF(D198=0,"",100*I198/D198)</x:f>
        <x:v>100</x:v>
      </x:c>
      <x:c r="K198" s="72" t="n">
        <x:v>1265.86665</x:v>
      </x:c>
      <x:c r="L198" s="72" t="n">
        <x:v>0</x:v>
      </x:c>
      <x:c r="M198" s="72" t="n">
        <x:f>L198-K198</x:f>
        <x:v>-1265.86665</x:v>
      </x:c>
      <x:c r="N198" s="72" t="n">
        <x:f>ABS(M198)</x:f>
        <x:v>1265.86665</x:v>
      </x:c>
      <x:c r="O198" s="68" t="n">
        <x:f>G198-D198</x:f>
        <x:v>166</x:v>
      </x:c>
    </x:row>
    <x:row r="199" ht="22" customHeight="1">
      <x:c r="A199" s="68" t="str">
        <x:v>UP</x:v>
      </x:c>
      <x:c r="B199" s="68" t="str">
        <x:v>2026-02-16</x:v>
      </x:c>
      <x:c r="C199" s="68" t="str">
        <x:v>양산휴게소</x:v>
      </x:c>
      <x:c r="D199" s="68" t="n">
        <x:v>11</x:v>
      </x:c>
      <x:c r="E199" s="68" t="n">
        <x:v>0</x:v>
      </x:c>
      <x:c r="F199" s="68" t="n">
        <x:v>39</x:v>
      </x:c>
      <x:c r="G199" s="68" t="n">
        <x:v>39</x:v>
      </x:c>
      <x:c r="H199" s="68" t="n">
        <x:f>E199-D199</x:f>
        <x:v>-11</x:v>
      </x:c>
      <x:c r="I199" s="68" t="n">
        <x:f>ABS(H199)</x:f>
        <x:v>11</x:v>
      </x:c>
      <x:c r="J199" s="70" t="n">
        <x:f>IF(D199=0,"",100*I199/D199)</x:f>
        <x:v>100</x:v>
      </x:c>
      <x:c r="K199" s="72" t="n">
        <x:v>197.54999</x:v>
      </x:c>
      <x:c r="L199" s="72" t="n">
        <x:v>0</x:v>
      </x:c>
      <x:c r="M199" s="72" t="n">
        <x:f>L199-K199</x:f>
        <x:v>-197.54999</x:v>
      </x:c>
      <x:c r="N199" s="72" t="n">
        <x:f>ABS(M199)</x:f>
        <x:v>197.54999</x:v>
      </x:c>
      <x:c r="O199" s="68" t="n">
        <x:f>G199-D199</x:f>
        <x:v>28</x:v>
      </x:c>
    </x:row>
    <x:row r="200" ht="22" customHeight="1">
      <x:c r="A200" s="68" t="str">
        <x:v>UP</x:v>
      </x:c>
      <x:c r="B200" s="68" t="str">
        <x:v>2026-02-16</x:v>
      </x:c>
      <x:c r="C200" s="68" t="str">
        <x:v>언양휴게소</x:v>
      </x:c>
      <x:c r="D200" s="68" t="n">
        <x:v>8</x:v>
      </x:c>
      <x:c r="E200" s="68" t="n">
        <x:v>14</x:v>
      </x:c>
      <x:c r="F200" s="68" t="n">
        <x:v>351</x:v>
      </x:c>
      <x:c r="G200" s="68" t="n">
        <x:v>365</x:v>
      </x:c>
      <x:c r="H200" s="68" t="n">
        <x:f>E200-D200</x:f>
        <x:v>6</x:v>
      </x:c>
      <x:c r="I200" s="68" t="n">
        <x:f>ABS(H200)</x:f>
        <x:v>6</x:v>
      </x:c>
      <x:c r="J200" s="70" t="n">
        <x:f>IF(D200=0,"",100*I200/D200)</x:f>
        <x:v>75</x:v>
      </x:c>
      <x:c r="K200" s="72" t="n">
        <x:v>199.66667</x:v>
      </x:c>
      <x:c r="L200" s="72" t="n">
        <x:v>224.452967</x:v>
      </x:c>
      <x:c r="M200" s="72" t="n">
        <x:f>L200-K200</x:f>
        <x:v>24.78629699999999</x:v>
      </x:c>
      <x:c r="N200" s="72" t="n">
        <x:f>ABS(M200)</x:f>
        <x:v>24.78629699999999</x:v>
      </x:c>
      <x:c r="O200" s="68" t="n">
        <x:f>G200-D200</x:f>
        <x:v>357</x:v>
      </x:c>
    </x:row>
    <x:row r="201" ht="22" customHeight="1">
      <x:c r="A201" s="68" t="str">
        <x:v>UP</x:v>
      </x:c>
      <x:c r="B201" s="68" t="str">
        <x:v>2026-02-16</x:v>
      </x:c>
      <x:c r="C201" s="68" t="str">
        <x:v>입장거봉포도휴게소</x:v>
      </x:c>
      <x:c r="D201" s="68" t="n">
        <x:v>56</x:v>
      </x:c>
      <x:c r="E201" s="68" t="n">
        <x:v>49</x:v>
      </x:c>
      <x:c r="F201" s="68" t="n">
        <x:v>0</x:v>
      </x:c>
      <x:c r="G201" s="68" t="n">
        <x:v>49</x:v>
      </x:c>
      <x:c r="H201" s="68" t="n">
        <x:f>E201-D201</x:f>
        <x:v>-7</x:v>
      </x:c>
      <x:c r="I201" s="68" t="n">
        <x:f>ABS(H201)</x:f>
        <x:v>7</x:v>
      </x:c>
      <x:c r="J201" s="70" t="n">
        <x:f>IF(D201=0,"",100*I201/D201)</x:f>
        <x:v>12.5</x:v>
      </x:c>
      <x:c r="K201" s="72" t="n">
        <x:v>1549.76668</x:v>
      </x:c>
      <x:c r="L201" s="72" t="n">
        <x:v>289.913764</x:v>
      </x:c>
      <x:c r="M201" s="72" t="n">
        <x:f>L201-K201</x:f>
        <x:v>-1259.8529159999998</x:v>
      </x:c>
      <x:c r="N201" s="72" t="n">
        <x:f>ABS(M201)</x:f>
        <x:v>1259.8529159999998</x:v>
      </x:c>
      <x:c r="O201" s="68" t="n">
        <x:f>G201-D201</x:f>
        <x:v>-7</x:v>
      </x:c>
    </x:row>
    <x:row r="202" ht="22" customHeight="1">
      <x:c r="A202" s="68" t="str">
        <x:v>UP</x:v>
      </x:c>
      <x:c r="B202" s="68" t="str">
        <x:v>2026-02-16</x:v>
      </x:c>
      <x:c r="C202" s="68" t="str">
        <x:v>죽암휴게소</x:v>
      </x:c>
      <x:c r="D202" s="68" t="n">
        <x:v>69</x:v>
      </x:c>
      <x:c r="E202" s="68" t="n">
        <x:v>2</x:v>
      </x:c>
      <x:c r="F202" s="68" t="n">
        <x:v>0</x:v>
      </x:c>
      <x:c r="G202" s="68" t="n">
        <x:v>2</x:v>
      </x:c>
      <x:c r="H202" s="68" t="n">
        <x:f>E202-D202</x:f>
        <x:v>-67</x:v>
      </x:c>
      <x:c r="I202" s="68" t="n">
        <x:f>ABS(H202)</x:f>
        <x:v>67</x:v>
      </x:c>
      <x:c r="J202" s="70" t="n">
        <x:f>IF(D202=0,"",100*I202/D202)</x:f>
        <x:v>97.10144927536231</x:v>
      </x:c>
      <x:c r="K202" s="72" t="n">
        <x:v>1956.1</x:v>
      </x:c>
      <x:c r="L202" s="72" t="n">
        <x:v>15.90249</x:v>
      </x:c>
      <x:c r="M202" s="72" t="n">
        <x:f>L202-K202</x:f>
        <x:v>-1940.19751</x:v>
      </x:c>
      <x:c r="N202" s="72" t="n">
        <x:f>ABS(M202)</x:f>
        <x:v>1940.19751</x:v>
      </x:c>
      <x:c r="O202" s="68" t="n">
        <x:f>G202-D202</x:f>
        <x:v>-67</x:v>
      </x:c>
    </x:row>
    <x:row r="203" ht="22" customHeight="1">
      <x:c r="A203" s="68" t="str">
        <x:v>UP</x:v>
      </x:c>
      <x:c r="B203" s="68" t="str">
        <x:v>2026-02-16</x:v>
      </x:c>
      <x:c r="C203" s="68" t="str">
        <x:v>죽전휴게소</x:v>
      </x:c>
      <x:c r="D203" s="68" t="n">
        <x:v>72</x:v>
      </x:c>
      <x:c r="E203" s="68" t="n">
        <x:v>2</x:v>
      </x:c>
      <x:c r="F203" s="68" t="n">
        <x:v>0</x:v>
      </x:c>
      <x:c r="G203" s="68" t="n">
        <x:v>2</x:v>
      </x:c>
      <x:c r="H203" s="68" t="n">
        <x:f>E203-D203</x:f>
        <x:v>-70</x:v>
      </x:c>
      <x:c r="I203" s="68" t="n">
        <x:f>ABS(H203)</x:f>
        <x:v>70</x:v>
      </x:c>
      <x:c r="J203" s="70" t="n">
        <x:f>IF(D203=0,"",100*I203/D203)</x:f>
        <x:v>97.22222222222223</x:v>
      </x:c>
      <x:c r="K203" s="72" t="n">
        <x:v>1931.51667</x:v>
      </x:c>
      <x:c r="L203" s="72" t="n">
        <x:v>5.597249</x:v>
      </x:c>
      <x:c r="M203" s="72" t="n">
        <x:f>L203-K203</x:f>
        <x:v>-1925.919421</x:v>
      </x:c>
      <x:c r="N203" s="72" t="n">
        <x:f>ABS(M203)</x:f>
        <x:v>1925.919421</x:v>
      </x:c>
      <x:c r="O203" s="68" t="n">
        <x:f>G203-D203</x:f>
        <x:v>-70</x:v>
      </x:c>
    </x:row>
    <x:row r="204" ht="22" customHeight="1">
      <x:c r="A204" s="68" t="str">
        <x:v>UP</x:v>
      </x:c>
      <x:c r="B204" s="68" t="str">
        <x:v>2026-02-16</x:v>
      </x:c>
      <x:c r="C204" s="68" t="str">
        <x:v>천안삼거리휴게소</x:v>
      </x:c>
      <x:c r="D204" s="68" t="n">
        <x:v>116</x:v>
      </x:c>
      <x:c r="E204" s="68" t="n">
        <x:v>68</x:v>
      </x:c>
      <x:c r="F204" s="68" t="n">
        <x:v>0</x:v>
      </x:c>
      <x:c r="G204" s="68" t="n">
        <x:v>68</x:v>
      </x:c>
      <x:c r="H204" s="68" t="n">
        <x:f>E204-D204</x:f>
        <x:v>-48</x:v>
      </x:c>
      <x:c r="I204" s="68" t="n">
        <x:f>ABS(H204)</x:f>
        <x:v>48</x:v>
      </x:c>
      <x:c r="J204" s="70" t="n">
        <x:f>IF(D204=0,"",100*I204/D204)</x:f>
        <x:v>41.37931034482759</x:v>
      </x:c>
      <x:c r="K204" s="72" t="n">
        <x:v>3113.8</x:v>
      </x:c>
      <x:c r="L204" s="72" t="n">
        <x:v>825.087808</x:v>
      </x:c>
      <x:c r="M204" s="72" t="n">
        <x:f>L204-K204</x:f>
        <x:v>-2288.712192</x:v>
      </x:c>
      <x:c r="N204" s="72" t="n">
        <x:f>ABS(M204)</x:f>
        <x:v>2288.712192</x:v>
      </x:c>
      <x:c r="O204" s="68" t="n">
        <x:f>G204-D204</x:f>
        <x:v>-48</x:v>
      </x:c>
    </x:row>
    <x:row r="205" ht="22" customHeight="1">
      <x:c r="A205" s="68" t="str">
        <x:v>UP</x:v>
      </x:c>
      <x:c r="B205" s="68" t="str">
        <x:v>2026-02-16</x:v>
      </x:c>
      <x:c r="C205" s="68" t="str">
        <x:v>청주휴게소</x:v>
      </x:c>
      <x:c r="D205" s="68" t="n">
        <x:v>30</x:v>
      </x:c>
      <x:c r="E205" s="68" t="n">
        <x:v>0</x:v>
      </x:c>
      <x:c r="F205" s="68" t="n">
        <x:v>91</x:v>
      </x:c>
      <x:c r="G205" s="68" t="n">
        <x:v>91</x:v>
      </x:c>
      <x:c r="H205" s="68" t="n">
        <x:f>E205-D205</x:f>
        <x:v>-30</x:v>
      </x:c>
      <x:c r="I205" s="68" t="n">
        <x:f>ABS(H205)</x:f>
        <x:v>30</x:v>
      </x:c>
      <x:c r="J205" s="70" t="n">
        <x:f>IF(D205=0,"",100*I205/D205)</x:f>
        <x:v>100</x:v>
      </x:c>
      <x:c r="K205" s="72" t="n">
        <x:v>670.78331</x:v>
      </x:c>
      <x:c r="L205" s="72" t="n">
        <x:v>0</x:v>
      </x:c>
      <x:c r="M205" s="72" t="n">
        <x:f>L205-K205</x:f>
        <x:v>-670.78331</x:v>
      </x:c>
      <x:c r="N205" s="72" t="n">
        <x:f>ABS(M205)</x:f>
        <x:v>670.78331</x:v>
      </x:c>
      <x:c r="O205" s="68" t="n">
        <x:f>G205-D205</x:f>
        <x:v>61</x:v>
      </x:c>
    </x:row>
    <x:row r="206" ht="22" customHeight="1">
      <x:c r="A206" s="68" t="str">
        <x:v>UP</x:v>
      </x:c>
      <x:c r="B206" s="68" t="str">
        <x:v>2026-02-16</x:v>
      </x:c>
      <x:c r="C206" s="68" t="str">
        <x:v>추풍령휴게소</x:v>
      </x:c>
      <x:c r="D206" s="68" t="n">
        <x:v>48</x:v>
      </x:c>
      <x:c r="E206" s="68" t="n">
        <x:v>99</x:v>
      </x:c>
      <x:c r="F206" s="68" t="n">
        <x:v>43</x:v>
      </x:c>
      <x:c r="G206" s="68" t="n">
        <x:v>142</x:v>
      </x:c>
      <x:c r="H206" s="68" t="n">
        <x:f>E206-D206</x:f>
        <x:v>51</x:v>
      </x:c>
      <x:c r="I206" s="68" t="n">
        <x:f>ABS(H206)</x:f>
        <x:v>51</x:v>
      </x:c>
      <x:c r="J206" s="70" t="n">
        <x:f>IF(D206=0,"",100*I206/D206)</x:f>
        <x:v>106.25</x:v>
      </x:c>
      <x:c r="K206" s="72" t="n">
        <x:v>813.78334</x:v>
      </x:c>
      <x:c r="L206" s="72" t="n">
        <x:v>1122.665771</x:v>
      </x:c>
      <x:c r="M206" s="72" t="n">
        <x:f>L206-K206</x:f>
        <x:v>308.882431</x:v>
      </x:c>
      <x:c r="N206" s="72" t="n">
        <x:f>ABS(M206)</x:f>
        <x:v>308.882431</x:v>
      </x:c>
      <x:c r="O206" s="68" t="n">
        <x:f>G206-D206</x:f>
        <x:v>94</x:v>
      </x:c>
    </x:row>
    <x:row r="207" ht="22" customHeight="1">
      <x:c r="A207" s="68" t="str">
        <x:v>UP</x:v>
      </x:c>
      <x:c r="B207" s="68" t="str">
        <x:v>2026-02-16</x:v>
      </x:c>
      <x:c r="C207" s="68" t="str">
        <x:v>황간휴게소</x:v>
      </x:c>
      <x:c r="D207" s="68" t="n">
        <x:v>41</x:v>
      </x:c>
      <x:c r="E207" s="68" t="n">
        <x:v>49</x:v>
      </x:c>
      <x:c r="F207" s="68" t="n">
        <x:v>0</x:v>
      </x:c>
      <x:c r="G207" s="68" t="n">
        <x:v>49</x:v>
      </x:c>
      <x:c r="H207" s="68" t="n">
        <x:f>E207-D207</x:f>
        <x:v>8</x:v>
      </x:c>
      <x:c r="I207" s="68" t="n">
        <x:f>ABS(H207)</x:f>
        <x:v>8</x:v>
      </x:c>
      <x:c r="J207" s="70" t="n">
        <x:f>IF(D207=0,"",100*I207/D207)</x:f>
        <x:v>19.51219512195122</x:v>
      </x:c>
      <x:c r="K207" s="72" t="n">
        <x:v>1087.20004</x:v>
      </x:c>
      <x:c r="L207" s="72" t="n">
        <x:v>611.312386</x:v>
      </x:c>
      <x:c r="M207" s="72" t="n">
        <x:f>L207-K207</x:f>
        <x:v>-475.887654</x:v>
      </x:c>
      <x:c r="N207" s="72" t="n">
        <x:f>ABS(M207)</x:f>
        <x:v>475.887654</x:v>
      </x:c>
      <x:c r="O207" s="68" t="n">
        <x:f>G207-D207</x:f>
        <x:v>8</x:v>
      </x:c>
    </x:row>
    <x:row r="208" ht="22" customHeight="1">
      <x:c r="A208" s="68" t="str">
        <x:v>UP</x:v>
      </x:c>
      <x:c r="B208" s="68" t="str">
        <x:v>2026-02-17</x:v>
      </x:c>
      <x:c r="C208" s="68" t="str">
        <x:v>건천휴게소</x:v>
      </x:c>
      <x:c r="D208" s="68" t="n">
        <x:v>78</x:v>
      </x:c>
      <x:c r="E208" s="68" t="n">
        <x:v>55</x:v>
      </x:c>
      <x:c r="F208" s="68" t="n">
        <x:v>0</x:v>
      </x:c>
      <x:c r="G208" s="68" t="n">
        <x:v>55</x:v>
      </x:c>
      <x:c r="H208" s="68" t="n">
        <x:f>E208-D208</x:f>
        <x:v>-23</x:v>
      </x:c>
      <x:c r="I208" s="68" t="n">
        <x:f>ABS(H208)</x:f>
        <x:v>23</x:v>
      </x:c>
      <x:c r="J208" s="70" t="n">
        <x:f>IF(D208=0,"",100*I208/D208)</x:f>
        <x:v>29.487179487179485</x:v>
      </x:c>
      <x:c r="K208" s="72" t="n">
        <x:v>1897.63333</x:v>
      </x:c>
      <x:c r="L208" s="72" t="n">
        <x:v>1396.695218</x:v>
      </x:c>
      <x:c r="M208" s="72" t="n">
        <x:f>L208-K208</x:f>
        <x:v>-500.9381119999998</x:v>
      </x:c>
      <x:c r="N208" s="72" t="n">
        <x:f>ABS(M208)</x:f>
        <x:v>500.9381119999998</x:v>
      </x:c>
      <x:c r="O208" s="68" t="n">
        <x:f>G208-D208</x:f>
        <x:v>-23</x:v>
      </x:c>
    </x:row>
    <x:row r="209" ht="22" customHeight="1">
      <x:c r="A209" s="68" t="str">
        <x:v>UP</x:v>
      </x:c>
      <x:c r="B209" s="68" t="str">
        <x:v>2026-02-17</x:v>
      </x:c>
      <x:c r="C209" s="68" t="str">
        <x:v>경산휴게소</x:v>
      </x:c>
      <x:c r="D209" s="68" t="n">
        <x:v>66</x:v>
      </x:c>
      <x:c r="E209" s="68" t="n">
        <x:v>57</x:v>
      </x:c>
      <x:c r="F209" s="68" t="n">
        <x:v>0</x:v>
      </x:c>
      <x:c r="G209" s="68" t="n">
        <x:v>57</x:v>
      </x:c>
      <x:c r="H209" s="68" t="n">
        <x:f>E209-D209</x:f>
        <x:v>-9</x:v>
      </x:c>
      <x:c r="I209" s="68" t="n">
        <x:f>ABS(H209)</x:f>
        <x:v>9</x:v>
      </x:c>
      <x:c r="J209" s="70" t="n">
        <x:f>IF(D209=0,"",100*I209/D209)</x:f>
        <x:v>13.636363636363637</x:v>
      </x:c>
      <x:c r="K209" s="72" t="n">
        <x:v>1695.48335</x:v>
      </x:c>
      <x:c r="L209" s="72" t="n">
        <x:v>1568.02293</x:v>
      </x:c>
      <x:c r="M209" s="72" t="n">
        <x:f>L209-K209</x:f>
        <x:v>-127.46041999999989</x:v>
      </x:c>
      <x:c r="N209" s="72" t="n">
        <x:f>ABS(M209)</x:f>
        <x:v>127.46041999999989</x:v>
      </x:c>
      <x:c r="O209" s="68" t="n">
        <x:f>G209-D209</x:f>
        <x:v>-9</x:v>
      </x:c>
    </x:row>
    <x:row r="210" ht="22" customHeight="1">
      <x:c r="A210" s="68" t="str">
        <x:v>UP</x:v>
      </x:c>
      <x:c r="B210" s="68" t="str">
        <x:v>2026-02-17</x:v>
      </x:c>
      <x:c r="C210" s="68" t="str">
        <x:v>김천휴게소</x:v>
      </x:c>
      <x:c r="D210" s="68" t="n">
        <x:v>16</x:v>
      </x:c>
      <x:c r="E210" s="68" t="n">
        <x:v>8</x:v>
      </x:c>
      <x:c r="F210" s="68" t="n">
        <x:v>160</x:v>
      </x:c>
      <x:c r="G210" s="68" t="n">
        <x:v>168</x:v>
      </x:c>
      <x:c r="H210" s="68" t="n">
        <x:f>E210-D210</x:f>
        <x:v>-8</x:v>
      </x:c>
      <x:c r="I210" s="68" t="n">
        <x:f>ABS(H210)</x:f>
        <x:v>8</x:v>
      </x:c>
      <x:c r="J210" s="70" t="n">
        <x:f>IF(D210=0,"",100*I210/D210)</x:f>
        <x:v>50</x:v>
      </x:c>
      <x:c r="K210" s="72" t="n">
        <x:v>435.01667</x:v>
      </x:c>
      <x:c r="L210" s="72" t="n">
        <x:v>27.502943</x:v>
      </x:c>
      <x:c r="M210" s="72" t="n">
        <x:f>L210-K210</x:f>
        <x:v>-407.51372699999996</x:v>
      </x:c>
      <x:c r="N210" s="72" t="n">
        <x:f>ABS(M210)</x:f>
        <x:v>407.51372699999996</x:v>
      </x:c>
      <x:c r="O210" s="68" t="n">
        <x:f>G210-D210</x:f>
        <x:v>152</x:v>
      </x:c>
    </x:row>
    <x:row r="211" ht="22" customHeight="1">
      <x:c r="A211" s="68" t="str">
        <x:v>UP</x:v>
      </x:c>
      <x:c r="B211" s="68" t="str">
        <x:v>2026-02-17</x:v>
      </x:c>
      <x:c r="C211" s="68" t="str">
        <x:v>신탄진휴게소</x:v>
      </x:c>
      <x:c r="D211" s="68" t="n">
        <x:v>141</x:v>
      </x:c>
      <x:c r="E211" s="68" t="n">
        <x:v>115</x:v>
      </x:c>
      <x:c r="F211" s="68" t="n">
        <x:v>19</x:v>
      </x:c>
      <x:c r="G211" s="68" t="n">
        <x:v>134</x:v>
      </x:c>
      <x:c r="H211" s="68" t="n">
        <x:f>E211-D211</x:f>
        <x:v>-26</x:v>
      </x:c>
      <x:c r="I211" s="68" t="n">
        <x:f>ABS(H211)</x:f>
        <x:v>26</x:v>
      </x:c>
      <x:c r="J211" s="70" t="n">
        <x:f>IF(D211=0,"",100*I211/D211)</x:f>
        <x:v>18.43971631205674</x:v>
      </x:c>
      <x:c r="K211" s="72" t="n">
        <x:v>4010.5</x:v>
      </x:c>
      <x:c r="L211" s="72" t="n">
        <x:v>965.420635</x:v>
      </x:c>
      <x:c r="M211" s="72" t="n">
        <x:f>L211-K211</x:f>
        <x:v>-3045.079365</x:v>
      </x:c>
      <x:c r="N211" s="72" t="n">
        <x:f>ABS(M211)</x:f>
        <x:v>3045.079365</x:v>
      </x:c>
      <x:c r="O211" s="68" t="n">
        <x:f>G211-D211</x:f>
        <x:v>-7</x:v>
      </x:c>
    </x:row>
    <x:row r="212" ht="22" customHeight="1">
      <x:c r="A212" s="68" t="str">
        <x:v>UP</x:v>
      </x:c>
      <x:c r="B212" s="68" t="str">
        <x:v>2026-02-17</x:v>
      </x:c>
      <x:c r="C212" s="68" t="str">
        <x:v>안성휴게소</x:v>
      </x:c>
      <x:c r="D212" s="68" t="n">
        <x:v>25</x:v>
      </x:c>
      <x:c r="E212" s="68" t="n">
        <x:v>3</x:v>
      </x:c>
      <x:c r="F212" s="68" t="n">
        <x:v>274</x:v>
      </x:c>
      <x:c r="G212" s="68" t="n">
        <x:v>277</x:v>
      </x:c>
      <x:c r="H212" s="68" t="n">
        <x:f>E212-D212</x:f>
        <x:v>-22</x:v>
      </x:c>
      <x:c r="I212" s="68" t="n">
        <x:f>ABS(H212)</x:f>
        <x:v>22</x:v>
      </x:c>
      <x:c r="J212" s="70" t="n">
        <x:f>IF(D212=0,"",100*I212/D212)</x:f>
        <x:v>88</x:v>
      </x:c>
      <x:c r="K212" s="72" t="n">
        <x:v>608.86667</x:v>
      </x:c>
      <x:c r="L212" s="72" t="n">
        <x:v>6.999532</x:v>
      </x:c>
      <x:c r="M212" s="72" t="n">
        <x:f>L212-K212</x:f>
        <x:v>-601.867138</x:v>
      </x:c>
      <x:c r="N212" s="72" t="n">
        <x:f>ABS(M212)</x:f>
        <x:v>601.867138</x:v>
      </x:c>
      <x:c r="O212" s="68" t="n">
        <x:f>G212-D212</x:f>
        <x:v>252</x:v>
      </x:c>
    </x:row>
    <x:row r="213" ht="22" customHeight="1">
      <x:c r="A213" s="68" t="str">
        <x:v>UP</x:v>
      </x:c>
      <x:c r="B213" s="68" t="str">
        <x:v>2026-02-17</x:v>
      </x:c>
      <x:c r="C213" s="68" t="str">
        <x:v>양산휴게소</x:v>
      </x:c>
      <x:c r="D213" s="68" t="n">
        <x:v>19</x:v>
      </x:c>
      <x:c r="E213" s="68" t="n">
        <x:v>0</x:v>
      </x:c>
      <x:c r="F213" s="68" t="n">
        <x:v>89</x:v>
      </x:c>
      <x:c r="G213" s="68" t="n">
        <x:v>89</x:v>
      </x:c>
      <x:c r="H213" s="68" t="n">
        <x:f>E213-D213</x:f>
        <x:v>-19</x:v>
      </x:c>
      <x:c r="I213" s="68" t="n">
        <x:f>ABS(H213)</x:f>
        <x:v>19</x:v>
      </x:c>
      <x:c r="J213" s="70" t="n">
        <x:f>IF(D213=0,"",100*I213/D213)</x:f>
        <x:v>100</x:v>
      </x:c>
      <x:c r="K213" s="72" t="n">
        <x:v>734.03332</x:v>
      </x:c>
      <x:c r="L213" s="72" t="n">
        <x:v>0</x:v>
      </x:c>
      <x:c r="M213" s="72" t="n">
        <x:f>L213-K213</x:f>
        <x:v>-734.03332</x:v>
      </x:c>
      <x:c r="N213" s="72" t="n">
        <x:f>ABS(M213)</x:f>
        <x:v>734.03332</x:v>
      </x:c>
      <x:c r="O213" s="68" t="n">
        <x:f>G213-D213</x:f>
        <x:v>70</x:v>
      </x:c>
    </x:row>
    <x:row r="214" ht="22" customHeight="1">
      <x:c r="A214" s="68" t="str">
        <x:v>UP</x:v>
      </x:c>
      <x:c r="B214" s="68" t="str">
        <x:v>2026-02-17</x:v>
      </x:c>
      <x:c r="C214" s="68" t="str">
        <x:v>언양휴게소</x:v>
      </x:c>
      <x:c r="D214" s="68" t="n">
        <x:v>10</x:v>
      </x:c>
      <x:c r="E214" s="68" t="n">
        <x:v>30</x:v>
      </x:c>
      <x:c r="F214" s="68" t="n">
        <x:v>376</x:v>
      </x:c>
      <x:c r="G214" s="68" t="n">
        <x:v>406</x:v>
      </x:c>
      <x:c r="H214" s="68" t="n">
        <x:f>E214-D214</x:f>
        <x:v>20</x:v>
      </x:c>
      <x:c r="I214" s="68" t="n">
        <x:f>ABS(H214)</x:f>
        <x:v>20</x:v>
      </x:c>
      <x:c r="J214" s="70" t="n">
        <x:f>IF(D214=0,"",100*I214/D214)</x:f>
        <x:v>200</x:v>
      </x:c>
      <x:c r="K214" s="72" t="n">
        <x:v>240.25</x:v>
      </x:c>
      <x:c r="L214" s="72" t="n">
        <x:v>414.801948</x:v>
      </x:c>
      <x:c r="M214" s="72" t="n">
        <x:f>L214-K214</x:f>
        <x:v>174.55194799999998</x:v>
      </x:c>
      <x:c r="N214" s="72" t="n">
        <x:f>ABS(M214)</x:f>
        <x:v>174.55194799999998</x:v>
      </x:c>
      <x:c r="O214" s="68" t="n">
        <x:f>G214-D214</x:f>
        <x:v>396</x:v>
      </x:c>
    </x:row>
    <x:row r="215" ht="22" customHeight="1">
      <x:c r="A215" s="68" t="str">
        <x:v>UP</x:v>
      </x:c>
      <x:c r="B215" s="68" t="str">
        <x:v>2026-02-17</x:v>
      </x:c>
      <x:c r="C215" s="68" t="str">
        <x:v>입장거봉포도휴게소</x:v>
      </x:c>
      <x:c r="D215" s="68" t="n">
        <x:v>52</x:v>
      </x:c>
      <x:c r="E215" s="68" t="n">
        <x:v>45</x:v>
      </x:c>
      <x:c r="F215" s="68" t="n">
        <x:v>0</x:v>
      </x:c>
      <x:c r="G215" s="68" t="n">
        <x:v>45</x:v>
      </x:c>
      <x:c r="H215" s="68" t="n">
        <x:f>E215-D215</x:f>
        <x:v>-7</x:v>
      </x:c>
      <x:c r="I215" s="68" t="n">
        <x:f>ABS(H215)</x:f>
        <x:v>7</x:v>
      </x:c>
      <x:c r="J215" s="70" t="n">
        <x:f>IF(D215=0,"",100*I215/D215)</x:f>
        <x:v>13.461538461538462</x:v>
      </x:c>
      <x:c r="K215" s="72" t="n">
        <x:v>1279.13335</x:v>
      </x:c>
      <x:c r="L215" s="72" t="n">
        <x:v>221.891883</x:v>
      </x:c>
      <x:c r="M215" s="72" t="n">
        <x:f>L215-K215</x:f>
        <x:v>-1057.241467</x:v>
      </x:c>
      <x:c r="N215" s="72" t="n">
        <x:f>ABS(M215)</x:f>
        <x:v>1057.241467</x:v>
      </x:c>
      <x:c r="O215" s="68" t="n">
        <x:f>G215-D215</x:f>
        <x:v>-7</x:v>
      </x:c>
    </x:row>
    <x:row r="216" ht="22" customHeight="1">
      <x:c r="A216" s="68" t="str">
        <x:v>UP</x:v>
      </x:c>
      <x:c r="B216" s="68" t="str">
        <x:v>2026-02-17</x:v>
      </x:c>
      <x:c r="C216" s="68" t="str">
        <x:v>죽암휴게소</x:v>
      </x:c>
      <x:c r="D216" s="68" t="n">
        <x:v>122</x:v>
      </x:c>
      <x:c r="E216" s="68" t="n">
        <x:v>2</x:v>
      </x:c>
      <x:c r="F216" s="68" t="n">
        <x:v>0</x:v>
      </x:c>
      <x:c r="G216" s="68" t="n">
        <x:v>2</x:v>
      </x:c>
      <x:c r="H216" s="68" t="n">
        <x:f>E216-D216</x:f>
        <x:v>-120</x:v>
      </x:c>
      <x:c r="I216" s="68" t="n">
        <x:f>ABS(H216)</x:f>
        <x:v>120</x:v>
      </x:c>
      <x:c r="J216" s="70" t="n">
        <x:f>IF(D216=0,"",100*I216/D216)</x:f>
        <x:v>98.36065573770492</x:v>
      </x:c>
      <x:c r="K216" s="72" t="n">
        <x:v>3046.33335</x:v>
      </x:c>
      <x:c r="L216" s="72" t="n">
        <x:v>67.854003</x:v>
      </x:c>
      <x:c r="M216" s="72" t="n">
        <x:f>L216-K216</x:f>
        <x:v>-2978.479347</x:v>
      </x:c>
      <x:c r="N216" s="72" t="n">
        <x:f>ABS(M216)</x:f>
        <x:v>2978.479347</x:v>
      </x:c>
      <x:c r="O216" s="68" t="n">
        <x:f>G216-D216</x:f>
        <x:v>-120</x:v>
      </x:c>
    </x:row>
    <x:row r="217" ht="22" customHeight="1">
      <x:c r="A217" s="68" t="str">
        <x:v>UP</x:v>
      </x:c>
      <x:c r="B217" s="68" t="str">
        <x:v>2026-02-17</x:v>
      </x:c>
      <x:c r="C217" s="68" t="str">
        <x:v>죽전휴게소</x:v>
      </x:c>
      <x:c r="D217" s="68" t="n">
        <x:v>65</x:v>
      </x:c>
      <x:c r="E217" s="68" t="n">
        <x:v>0</x:v>
      </x:c>
      <x:c r="F217" s="68" t="n">
        <x:v>0</x:v>
      </x:c>
      <x:c r="G217" s="68" t="n">
        <x:v>0</x:v>
      </x:c>
      <x:c r="H217" s="68" t="n">
        <x:f>E217-D217</x:f>
        <x:v>-65</x:v>
      </x:c>
      <x:c r="I217" s="68" t="n">
        <x:f>ABS(H217)</x:f>
        <x:v>65</x:v>
      </x:c>
      <x:c r="J217" s="70" t="n">
        <x:f>IF(D217=0,"",100*I217/D217)</x:f>
        <x:v>100</x:v>
      </x:c>
      <x:c r="K217" s="72" t="n">
        <x:v>1509.38335</x:v>
      </x:c>
      <x:c r="L217" s="72" t="n">
        <x:v>0</x:v>
      </x:c>
      <x:c r="M217" s="72" t="n">
        <x:f>L217-K217</x:f>
        <x:v>-1509.38335</x:v>
      </x:c>
      <x:c r="N217" s="72" t="n">
        <x:f>ABS(M217)</x:f>
        <x:v>1509.38335</x:v>
      </x:c>
      <x:c r="O217" s="68" t="n">
        <x:f>G217-D217</x:f>
        <x:v>-65</x:v>
      </x:c>
    </x:row>
    <x:row r="218" ht="22" customHeight="1">
      <x:c r="A218" s="68" t="str">
        <x:v>UP</x:v>
      </x:c>
      <x:c r="B218" s="68" t="str">
        <x:v>2026-02-17</x:v>
      </x:c>
      <x:c r="C218" s="68" t="str">
        <x:v>천안삼거리휴게소</x:v>
      </x:c>
      <x:c r="D218" s="68" t="n">
        <x:v>143</x:v>
      </x:c>
      <x:c r="E218" s="68" t="n">
        <x:v>80</x:v>
      </x:c>
      <x:c r="F218" s="68" t="n">
        <x:v>0</x:v>
      </x:c>
      <x:c r="G218" s="68" t="n">
        <x:v>80</x:v>
      </x:c>
      <x:c r="H218" s="68" t="n">
        <x:f>E218-D218</x:f>
        <x:v>-63</x:v>
      </x:c>
      <x:c r="I218" s="68" t="n">
        <x:f>ABS(H218)</x:f>
        <x:v>63</x:v>
      </x:c>
      <x:c r="J218" s="70" t="n">
        <x:f>IF(D218=0,"",100*I218/D218)</x:f>
        <x:v>44.05594405594405</x:v>
      </x:c>
      <x:c r="K218" s="72" t="n">
        <x:v>3991.18334</x:v>
      </x:c>
      <x:c r="L218" s="72" t="n">
        <x:v>904.673708</x:v>
      </x:c>
      <x:c r="M218" s="72" t="n">
        <x:f>L218-K218</x:f>
        <x:v>-3086.5096320000002</x:v>
      </x:c>
      <x:c r="N218" s="72" t="n">
        <x:f>ABS(M218)</x:f>
        <x:v>3086.5096320000002</x:v>
      </x:c>
      <x:c r="O218" s="68" t="n">
        <x:f>G218-D218</x:f>
        <x:v>-63</x:v>
      </x:c>
    </x:row>
    <x:row r="219" ht="22" customHeight="1">
      <x:c r="A219" s="68" t="str">
        <x:v>UP</x:v>
      </x:c>
      <x:c r="B219" s="68" t="str">
        <x:v>2026-02-17</x:v>
      </x:c>
      <x:c r="C219" s="68" t="str">
        <x:v>청주휴게소</x:v>
      </x:c>
      <x:c r="D219" s="68" t="n">
        <x:v>32</x:v>
      </x:c>
      <x:c r="E219" s="68" t="n">
        <x:v>0</x:v>
      </x:c>
      <x:c r="F219" s="68" t="n">
        <x:v>101</x:v>
      </x:c>
      <x:c r="G219" s="68" t="n">
        <x:v>101</x:v>
      </x:c>
      <x:c r="H219" s="68" t="n">
        <x:f>E219-D219</x:f>
        <x:v>-32</x:v>
      </x:c>
      <x:c r="I219" s="68" t="n">
        <x:f>ABS(H219)</x:f>
        <x:v>32</x:v>
      </x:c>
      <x:c r="J219" s="70" t="n">
        <x:f>IF(D219=0,"",100*I219/D219)</x:f>
        <x:v>100</x:v>
      </x:c>
      <x:c r="K219" s="72" t="n">
        <x:v>799.90001</x:v>
      </x:c>
      <x:c r="L219" s="72" t="n">
        <x:v>0</x:v>
      </x:c>
      <x:c r="M219" s="72" t="n">
        <x:f>L219-K219</x:f>
        <x:v>-799.90001</x:v>
      </x:c>
      <x:c r="N219" s="72" t="n">
        <x:f>ABS(M219)</x:f>
        <x:v>799.90001</x:v>
      </x:c>
      <x:c r="O219" s="68" t="n">
        <x:f>G219-D219</x:f>
        <x:v>69</x:v>
      </x:c>
    </x:row>
    <x:row r="220" ht="22" customHeight="1">
      <x:c r="A220" s="68" t="str">
        <x:v>UP</x:v>
      </x:c>
      <x:c r="B220" s="68" t="str">
        <x:v>2026-02-17</x:v>
      </x:c>
      <x:c r="C220" s="68" t="str">
        <x:v>추풍령휴게소</x:v>
      </x:c>
      <x:c r="D220" s="68" t="n">
        <x:v>68</x:v>
      </x:c>
      <x:c r="E220" s="68" t="n">
        <x:v>142</x:v>
      </x:c>
      <x:c r="F220" s="68" t="n">
        <x:v>66</x:v>
      </x:c>
      <x:c r="G220" s="68" t="n">
        <x:v>208</x:v>
      </x:c>
      <x:c r="H220" s="68" t="n">
        <x:f>E220-D220</x:f>
        <x:v>74</x:v>
      </x:c>
      <x:c r="I220" s="68" t="n">
        <x:f>ABS(H220)</x:f>
        <x:v>74</x:v>
      </x:c>
      <x:c r="J220" s="70" t="n">
        <x:f>IF(D220=0,"",100*I220/D220)</x:f>
        <x:v>108.82352941176471</x:v>
      </x:c>
      <x:c r="K220" s="72" t="n">
        <x:v>1431.46665</x:v>
      </x:c>
      <x:c r="L220" s="72" t="n">
        <x:v>1435.324984</x:v>
      </x:c>
      <x:c r="M220" s="72" t="n">
        <x:f>L220-K220</x:f>
        <x:v>3.8583340000000135</x:v>
      </x:c>
      <x:c r="N220" s="72" t="n">
        <x:f>ABS(M220)</x:f>
        <x:v>3.8583340000000135</x:v>
      </x:c>
      <x:c r="O220" s="68" t="n">
        <x:f>G220-D220</x:f>
        <x:v>140</x:v>
      </x:c>
    </x:row>
    <x:row r="221" ht="22" customHeight="1">
      <x:c r="A221" s="68" t="str">
        <x:v>UP</x:v>
      </x:c>
      <x:c r="B221" s="68" t="str">
        <x:v>2026-02-17</x:v>
      </x:c>
      <x:c r="C221" s="68" t="str">
        <x:v>황간휴게소</x:v>
      </x:c>
      <x:c r="D221" s="68" t="n">
        <x:v>93</x:v>
      </x:c>
      <x:c r="E221" s="68" t="n">
        <x:v>77</x:v>
      </x:c>
      <x:c r="F221" s="68" t="n">
        <x:v>0</x:v>
      </x:c>
      <x:c r="G221" s="68" t="n">
        <x:v>77</x:v>
      </x:c>
      <x:c r="H221" s="68" t="n">
        <x:f>E221-D221</x:f>
        <x:v>-16</x:v>
      </x:c>
      <x:c r="I221" s="68" t="n">
        <x:f>ABS(H221)</x:f>
        <x:v>16</x:v>
      </x:c>
      <x:c r="J221" s="70" t="n">
        <x:f>IF(D221=0,"",100*I221/D221)</x:f>
        <x:v>17.204301075268816</x:v>
      </x:c>
      <x:c r="K221" s="72" t="n">
        <x:v>2117.26669</x:v>
      </x:c>
      <x:c r="L221" s="72" t="n">
        <x:v>1091.540552</x:v>
      </x:c>
      <x:c r="M221" s="72" t="n">
        <x:f>L221-K221</x:f>
        <x:v>-1025.726138</x:v>
      </x:c>
      <x:c r="N221" s="72" t="n">
        <x:f>ABS(M221)</x:f>
        <x:v>1025.726138</x:v>
      </x:c>
      <x:c r="O221" s="68" t="n">
        <x:f>G221-D221</x:f>
        <x:v>-16</x:v>
      </x:c>
    </x:row>
    <x:row r="222" ht="22" customHeight="1">
      <x:c r="A222" s="68" t="str">
        <x:v>UP</x:v>
      </x:c>
      <x:c r="B222" s="68" t="str">
        <x:v>2026-02-18</x:v>
      </x:c>
      <x:c r="C222" s="68" t="str">
        <x:v>건천휴게소</x:v>
      </x:c>
      <x:c r="D222" s="68" t="n">
        <x:v>54</x:v>
      </x:c>
      <x:c r="E222" s="68" t="n">
        <x:v>34</x:v>
      </x:c>
      <x:c r="F222" s="68" t="n">
        <x:v>0</x:v>
      </x:c>
      <x:c r="G222" s="68" t="n">
        <x:v>34</x:v>
      </x:c>
      <x:c r="H222" s="68" t="n">
        <x:f>E222-D222</x:f>
        <x:v>-20</x:v>
      </x:c>
      <x:c r="I222" s="68" t="n">
        <x:f>ABS(H222)</x:f>
        <x:v>20</x:v>
      </x:c>
      <x:c r="J222" s="70" t="n">
        <x:f>IF(D222=0,"",100*I222/D222)</x:f>
        <x:v>37.03703703703704</x:v>
      </x:c>
      <x:c r="K222" s="72" t="n">
        <x:v>2059.41667</x:v>
      </x:c>
      <x:c r="L222" s="72" t="n">
        <x:v>1017.132957</x:v>
      </x:c>
      <x:c r="M222" s="72" t="n">
        <x:f>L222-K222</x:f>
        <x:v>-1042.283713</x:v>
      </x:c>
      <x:c r="N222" s="72" t="n">
        <x:f>ABS(M222)</x:f>
        <x:v>1042.283713</x:v>
      </x:c>
      <x:c r="O222" s="68" t="n">
        <x:f>G222-D222</x:f>
        <x:v>-20</x:v>
      </x:c>
    </x:row>
    <x:row r="223" ht="22" customHeight="1">
      <x:c r="A223" s="68" t="str">
        <x:v>UP</x:v>
      </x:c>
      <x:c r="B223" s="68" t="str">
        <x:v>2026-02-18</x:v>
      </x:c>
      <x:c r="C223" s="68" t="str">
        <x:v>경산휴게소</x:v>
      </x:c>
      <x:c r="D223" s="68" t="n">
        <x:v>36</x:v>
      </x:c>
      <x:c r="E223" s="68" t="n">
        <x:v>48</x:v>
      </x:c>
      <x:c r="F223" s="68" t="n">
        <x:v>0</x:v>
      </x:c>
      <x:c r="G223" s="68" t="n">
        <x:v>48</x:v>
      </x:c>
      <x:c r="H223" s="68" t="n">
        <x:f>E223-D223</x:f>
        <x:v>12</x:v>
      </x:c>
      <x:c r="I223" s="68" t="n">
        <x:f>ABS(H223)</x:f>
        <x:v>12</x:v>
      </x:c>
      <x:c r="J223" s="70" t="n">
        <x:f>IF(D223=0,"",100*I223/D223)</x:f>
        <x:v>33.333333333333336</x:v>
      </x:c>
      <x:c r="K223" s="72" t="n">
        <x:v>1036.46666</x:v>
      </x:c>
      <x:c r="L223" s="72" t="n">
        <x:v>1248.58105</x:v>
      </x:c>
      <x:c r="M223" s="72" t="n">
        <x:f>L223-K223</x:f>
        <x:v>212.11438999999996</x:v>
      </x:c>
      <x:c r="N223" s="72" t="n">
        <x:f>ABS(M223)</x:f>
        <x:v>212.11438999999996</x:v>
      </x:c>
      <x:c r="O223" s="68" t="n">
        <x:f>G223-D223</x:f>
        <x:v>12</x:v>
      </x:c>
    </x:row>
    <x:row r="224" ht="22" customHeight="1">
      <x:c r="A224" s="68" t="str">
        <x:v>UP</x:v>
      </x:c>
      <x:c r="B224" s="68" t="str">
        <x:v>2026-02-18</x:v>
      </x:c>
      <x:c r="C224" s="68" t="str">
        <x:v>김천휴게소</x:v>
      </x:c>
      <x:c r="D224" s="68" t="n">
        <x:v>21</x:v>
      </x:c>
      <x:c r="E224" s="68" t="n">
        <x:v>3</x:v>
      </x:c>
      <x:c r="F224" s="68" t="n">
        <x:v>111</x:v>
      </x:c>
      <x:c r="G224" s="68" t="n">
        <x:v>114</x:v>
      </x:c>
      <x:c r="H224" s="68" t="n">
        <x:f>E224-D224</x:f>
        <x:v>-18</x:v>
      </x:c>
      <x:c r="I224" s="68" t="n">
        <x:f>ABS(H224)</x:f>
        <x:v>18</x:v>
      </x:c>
      <x:c r="J224" s="70" t="n">
        <x:f>IF(D224=0,"",100*I224/D224)</x:f>
        <x:v>85.71428571428571</x:v>
      </x:c>
      <x:c r="K224" s="72" t="n">
        <x:v>589.98331</x:v>
      </x:c>
      <x:c r="L224" s="72" t="n">
        <x:v>64.333876</x:v>
      </x:c>
      <x:c r="M224" s="72" t="n">
        <x:f>L224-K224</x:f>
        <x:v>-525.6494339999999</x:v>
      </x:c>
      <x:c r="N224" s="72" t="n">
        <x:f>ABS(M224)</x:f>
        <x:v>525.6494339999999</x:v>
      </x:c>
      <x:c r="O224" s="68" t="n">
        <x:f>G224-D224</x:f>
        <x:v>93</x:v>
      </x:c>
    </x:row>
    <x:row r="225" ht="22" customHeight="1">
      <x:c r="A225" s="68" t="str">
        <x:v>UP</x:v>
      </x:c>
      <x:c r="B225" s="68" t="str">
        <x:v>2026-02-18</x:v>
      </x:c>
      <x:c r="C225" s="68" t="str">
        <x:v>신탄진휴게소</x:v>
      </x:c>
      <x:c r="D225" s="68" t="n">
        <x:v>131</x:v>
      </x:c>
      <x:c r="E225" s="68" t="n">
        <x:v>144</x:v>
      </x:c>
      <x:c r="F225" s="68" t="n">
        <x:v>50</x:v>
      </x:c>
      <x:c r="G225" s="68" t="n">
        <x:v>194</x:v>
      </x:c>
      <x:c r="H225" s="68" t="n">
        <x:f>E225-D225</x:f>
        <x:v>13</x:v>
      </x:c>
      <x:c r="I225" s="68" t="n">
        <x:f>ABS(H225)</x:f>
        <x:v>13</x:v>
      </x:c>
      <x:c r="J225" s="70" t="n">
        <x:f>IF(D225=0,"",100*I225/D225)</x:f>
        <x:v>9.923664122137405</x:v>
      </x:c>
      <x:c r="K225" s="72" t="n">
        <x:v>3744.98334</x:v>
      </x:c>
      <x:c r="L225" s="72" t="n">
        <x:v>1127.455649</x:v>
      </x:c>
      <x:c r="M225" s="72" t="n">
        <x:f>L225-K225</x:f>
        <x:v>-2617.5276910000002</x:v>
      </x:c>
      <x:c r="N225" s="72" t="n">
        <x:f>ABS(M225)</x:f>
        <x:v>2617.5276910000002</x:v>
      </x:c>
      <x:c r="O225" s="68" t="n">
        <x:f>G225-D225</x:f>
        <x:v>63</x:v>
      </x:c>
    </x:row>
    <x:row r="226" ht="22" customHeight="1">
      <x:c r="A226" s="68" t="str">
        <x:v>UP</x:v>
      </x:c>
      <x:c r="B226" s="68" t="str">
        <x:v>2026-02-18</x:v>
      </x:c>
      <x:c r="C226" s="68" t="str">
        <x:v>안성휴게소</x:v>
      </x:c>
      <x:c r="D226" s="68" t="n">
        <x:v>41</x:v>
      </x:c>
      <x:c r="E226" s="68" t="n">
        <x:v>0</x:v>
      </x:c>
      <x:c r="F226" s="68" t="n">
        <x:v>304</x:v>
      </x:c>
      <x:c r="G226" s="68" t="n">
        <x:v>304</x:v>
      </x:c>
      <x:c r="H226" s="68" t="n">
        <x:f>E226-D226</x:f>
        <x:v>-41</x:v>
      </x:c>
      <x:c r="I226" s="68" t="n">
        <x:f>ABS(H226)</x:f>
        <x:v>41</x:v>
      </x:c>
      <x:c r="J226" s="70" t="n">
        <x:f>IF(D226=0,"",100*I226/D226)</x:f>
        <x:v>100</x:v>
      </x:c>
      <x:c r="K226" s="72" t="n">
        <x:v>1047.63335</x:v>
      </x:c>
      <x:c r="L226" s="72" t="n">
        <x:v>0</x:v>
      </x:c>
      <x:c r="M226" s="72" t="n">
        <x:f>L226-K226</x:f>
        <x:v>-1047.63335</x:v>
      </x:c>
      <x:c r="N226" s="72" t="n">
        <x:f>ABS(M226)</x:f>
        <x:v>1047.63335</x:v>
      </x:c>
      <x:c r="O226" s="68" t="n">
        <x:f>G226-D226</x:f>
        <x:v>263</x:v>
      </x:c>
    </x:row>
    <x:row r="227" ht="22" customHeight="1">
      <x:c r="A227" s="68" t="str">
        <x:v>UP</x:v>
      </x:c>
      <x:c r="B227" s="68" t="str">
        <x:v>2026-02-18</x:v>
      </x:c>
      <x:c r="C227" s="68" t="str">
        <x:v>양산휴게소</x:v>
      </x:c>
      <x:c r="D227" s="68" t="n">
        <x:v>17</x:v>
      </x:c>
      <x:c r="E227" s="68" t="n">
        <x:v>0</x:v>
      </x:c>
      <x:c r="F227" s="68" t="n">
        <x:v>36</x:v>
      </x:c>
      <x:c r="G227" s="68" t="n">
        <x:v>36</x:v>
      </x:c>
      <x:c r="H227" s="68" t="n">
        <x:f>E227-D227</x:f>
        <x:v>-17</x:v>
      </x:c>
      <x:c r="I227" s="68" t="n">
        <x:f>ABS(H227)</x:f>
        <x:v>17</x:v>
      </x:c>
      <x:c r="J227" s="70" t="n">
        <x:f>IF(D227=0,"",100*I227/D227)</x:f>
        <x:v>100</x:v>
      </x:c>
      <x:c r="K227" s="72" t="n">
        <x:v>412.08333</x:v>
      </x:c>
      <x:c r="L227" s="72" t="n">
        <x:v>0</x:v>
      </x:c>
      <x:c r="M227" s="72" t="n">
        <x:f>L227-K227</x:f>
        <x:v>-412.08333</x:v>
      </x:c>
      <x:c r="N227" s="72" t="n">
        <x:f>ABS(M227)</x:f>
        <x:v>412.08333</x:v>
      </x:c>
      <x:c r="O227" s="68" t="n">
        <x:f>G227-D227</x:f>
        <x:v>19</x:v>
      </x:c>
    </x:row>
    <x:row r="228" ht="22" customHeight="1">
      <x:c r="A228" s="68" t="str">
        <x:v>UP</x:v>
      </x:c>
      <x:c r="B228" s="68" t="str">
        <x:v>2026-02-18</x:v>
      </x:c>
      <x:c r="C228" s="68" t="str">
        <x:v>언양휴게소</x:v>
      </x:c>
      <x:c r="D228" s="68" t="n">
        <x:v>5</x:v>
      </x:c>
      <x:c r="E228" s="68" t="n">
        <x:v>11</x:v>
      </x:c>
      <x:c r="F228" s="68" t="n">
        <x:v>335</x:v>
      </x:c>
      <x:c r="G228" s="68" t="n">
        <x:v>346</x:v>
      </x:c>
      <x:c r="H228" s="68" t="n">
        <x:f>E228-D228</x:f>
        <x:v>6</x:v>
      </x:c>
      <x:c r="I228" s="68" t="n">
        <x:f>ABS(H228)</x:f>
        <x:v>6</x:v>
      </x:c>
      <x:c r="J228" s="70" t="n">
        <x:f>IF(D228=0,"",100*I228/D228)</x:f>
        <x:v>120</x:v>
      </x:c>
      <x:c r="K228" s="72" t="n">
        <x:v>151.66666</x:v>
      </x:c>
      <x:c r="L228" s="72" t="n">
        <x:v>181.014353</x:v>
      </x:c>
      <x:c r="M228" s="72" t="n">
        <x:f>L228-K228</x:f>
        <x:v>29.347692999999992</x:v>
      </x:c>
      <x:c r="N228" s="72" t="n">
        <x:f>ABS(M228)</x:f>
        <x:v>29.347692999999992</x:v>
      </x:c>
      <x:c r="O228" s="68" t="n">
        <x:f>G228-D228</x:f>
        <x:v>341</x:v>
      </x:c>
    </x:row>
    <x:row r="229" ht="22" customHeight="1">
      <x:c r="A229" s="68" t="str">
        <x:v>UP</x:v>
      </x:c>
      <x:c r="B229" s="68" t="str">
        <x:v>2026-02-18</x:v>
      </x:c>
      <x:c r="C229" s="68" t="str">
        <x:v>입장거봉포도휴게소</x:v>
      </x:c>
      <x:c r="D229" s="68" t="n">
        <x:v>46</x:v>
      </x:c>
      <x:c r="E229" s="68" t="n">
        <x:v>63</x:v>
      </x:c>
      <x:c r="F229" s="68" t="n">
        <x:v>0</x:v>
      </x:c>
      <x:c r="G229" s="68" t="n">
        <x:v>63</x:v>
      </x:c>
      <x:c r="H229" s="68" t="n">
        <x:f>E229-D229</x:f>
        <x:v>17</x:v>
      </x:c>
      <x:c r="I229" s="68" t="n">
        <x:f>ABS(H229)</x:f>
        <x:v>17</x:v>
      </x:c>
      <x:c r="J229" s="70" t="n">
        <x:f>IF(D229=0,"",100*I229/D229)</x:f>
        <x:v>36.95652173913044</x:v>
      </x:c>
      <x:c r="K229" s="72" t="n">
        <x:v>1243.85001</x:v>
      </x:c>
      <x:c r="L229" s="72" t="n">
        <x:v>405.95856</x:v>
      </x:c>
      <x:c r="M229" s="72" t="n">
        <x:f>L229-K229</x:f>
        <x:v>-837.8914500000001</x:v>
      </x:c>
      <x:c r="N229" s="72" t="n">
        <x:f>ABS(M229)</x:f>
        <x:v>837.8914500000001</x:v>
      </x:c>
      <x:c r="O229" s="68" t="n">
        <x:f>G229-D229</x:f>
        <x:v>17</x:v>
      </x:c>
    </x:row>
    <x:row r="230" ht="22" customHeight="1">
      <x:c r="A230" s="68" t="str">
        <x:v>UP</x:v>
      </x:c>
      <x:c r="B230" s="68" t="str">
        <x:v>2026-02-18</x:v>
      </x:c>
      <x:c r="C230" s="68" t="str">
        <x:v>죽암휴게소</x:v>
      </x:c>
      <x:c r="D230" s="68" t="n">
        <x:v>108</x:v>
      </x:c>
      <x:c r="E230" s="68" t="n">
        <x:v>1</x:v>
      </x:c>
      <x:c r="F230" s="68" t="n">
        <x:v>0</x:v>
      </x:c>
      <x:c r="G230" s="68" t="n">
        <x:v>1</x:v>
      </x:c>
      <x:c r="H230" s="68" t="n">
        <x:f>E230-D230</x:f>
        <x:v>-107</x:v>
      </x:c>
      <x:c r="I230" s="68" t="n">
        <x:f>ABS(H230)</x:f>
        <x:v>107</x:v>
      </x:c>
      <x:c r="J230" s="70" t="n">
        <x:f>IF(D230=0,"",100*I230/D230)</x:f>
        <x:v>99.07407407407408</x:v>
      </x:c>
      <x:c r="K230" s="72" t="n">
        <x:v>2662.34998</x:v>
      </x:c>
      <x:c r="L230" s="72" t="n">
        <x:v>32.148506</x:v>
      </x:c>
      <x:c r="M230" s="72" t="n">
        <x:f>L230-K230</x:f>
        <x:v>-2630.201474</x:v>
      </x:c>
      <x:c r="N230" s="72" t="n">
        <x:f>ABS(M230)</x:f>
        <x:v>2630.201474</x:v>
      </x:c>
      <x:c r="O230" s="68" t="n">
        <x:f>G230-D230</x:f>
        <x:v>-107</x:v>
      </x:c>
    </x:row>
    <x:row r="231" ht="22" customHeight="1">
      <x:c r="A231" s="68" t="str">
        <x:v>UP</x:v>
      </x:c>
      <x:c r="B231" s="68" t="str">
        <x:v>2026-02-18</x:v>
      </x:c>
      <x:c r="C231" s="68" t="str">
        <x:v>죽전휴게소</x:v>
      </x:c>
      <x:c r="D231" s="68" t="n">
        <x:v>71</x:v>
      </x:c>
      <x:c r="E231" s="68" t="n">
        <x:v>4</x:v>
      </x:c>
      <x:c r="F231" s="68" t="n">
        <x:v>0</x:v>
      </x:c>
      <x:c r="G231" s="68" t="n">
        <x:v>4</x:v>
      </x:c>
      <x:c r="H231" s="68" t="n">
        <x:f>E231-D231</x:f>
        <x:v>-67</x:v>
      </x:c>
      <x:c r="I231" s="68" t="n">
        <x:f>ABS(H231)</x:f>
        <x:v>67</x:v>
      </x:c>
      <x:c r="J231" s="70" t="n">
        <x:f>IF(D231=0,"",100*I231/D231)</x:f>
        <x:v>94.36619718309859</x:v>
      </x:c>
      <x:c r="K231" s="72" t="n">
        <x:v>1601.79999</x:v>
      </x:c>
      <x:c r="L231" s="72" t="n">
        <x:v>5.621351</x:v>
      </x:c>
      <x:c r="M231" s="72" t="n">
        <x:f>L231-K231</x:f>
        <x:v>-1596.178639</x:v>
      </x:c>
      <x:c r="N231" s="72" t="n">
        <x:f>ABS(M231)</x:f>
        <x:v>1596.178639</x:v>
      </x:c>
      <x:c r="O231" s="68" t="n">
        <x:f>G231-D231</x:f>
        <x:v>-67</x:v>
      </x:c>
    </x:row>
    <x:row r="232" ht="22" customHeight="1">
      <x:c r="A232" s="68" t="str">
        <x:v>UP</x:v>
      </x:c>
      <x:c r="B232" s="68" t="str">
        <x:v>2026-02-18</x:v>
      </x:c>
      <x:c r="C232" s="68" t="str">
        <x:v>천안삼거리휴게소</x:v>
      </x:c>
      <x:c r="D232" s="68" t="n">
        <x:v>149</x:v>
      </x:c>
      <x:c r="E232" s="68" t="n">
        <x:v>82</x:v>
      </x:c>
      <x:c r="F232" s="68" t="n">
        <x:v>0</x:v>
      </x:c>
      <x:c r="G232" s="68" t="n">
        <x:v>82</x:v>
      </x:c>
      <x:c r="H232" s="68" t="n">
        <x:f>E232-D232</x:f>
        <x:v>-67</x:v>
      </x:c>
      <x:c r="I232" s="68" t="n">
        <x:f>ABS(H232)</x:f>
        <x:v>67</x:v>
      </x:c>
      <x:c r="J232" s="70" t="n">
        <x:f>IF(D232=0,"",100*I232/D232)</x:f>
        <x:v>44.966442953020135</x:v>
      </x:c>
      <x:c r="K232" s="72" t="n">
        <x:v>3871.48334</x:v>
      </x:c>
      <x:c r="L232" s="72" t="n">
        <x:v>1054.389302</x:v>
      </x:c>
      <x:c r="M232" s="72" t="n">
        <x:f>L232-K232</x:f>
        <x:v>-2817.094038</x:v>
      </x:c>
      <x:c r="N232" s="72" t="n">
        <x:f>ABS(M232)</x:f>
        <x:v>2817.094038</x:v>
      </x:c>
      <x:c r="O232" s="68" t="n">
        <x:f>G232-D232</x:f>
        <x:v>-67</x:v>
      </x:c>
    </x:row>
    <x:row r="233" ht="22" customHeight="1">
      <x:c r="A233" s="68" t="str">
        <x:v>UP</x:v>
      </x:c>
      <x:c r="B233" s="68" t="str">
        <x:v>2026-02-18</x:v>
      </x:c>
      <x:c r="C233" s="68" t="str">
        <x:v>청주휴게소</x:v>
      </x:c>
      <x:c r="D233" s="68" t="n">
        <x:v>57</x:v>
      </x:c>
      <x:c r="E233" s="68" t="n">
        <x:v>1</x:v>
      </x:c>
      <x:c r="F233" s="68" t="n">
        <x:v>147</x:v>
      </x:c>
      <x:c r="G233" s="68" t="n">
        <x:v>148</x:v>
      </x:c>
      <x:c r="H233" s="68" t="n">
        <x:f>E233-D233</x:f>
        <x:v>-56</x:v>
      </x:c>
      <x:c r="I233" s="68" t="n">
        <x:f>ABS(H233)</x:f>
        <x:v>56</x:v>
      </x:c>
      <x:c r="J233" s="70" t="n">
        <x:f>IF(D233=0,"",100*I233/D233)</x:f>
        <x:v>98.24561403508773</x:v>
      </x:c>
      <x:c r="K233" s="72" t="n">
        <x:v>1717.13334</x:v>
      </x:c>
      <x:c r="L233" s="72" t="n">
        <x:v>1.146876</x:v>
      </x:c>
      <x:c r="M233" s="72" t="n">
        <x:f>L233-K233</x:f>
        <x:v>-1715.986464</x:v>
      </x:c>
      <x:c r="N233" s="72" t="n">
        <x:f>ABS(M233)</x:f>
        <x:v>1715.986464</x:v>
      </x:c>
      <x:c r="O233" s="68" t="n">
        <x:f>G233-D233</x:f>
        <x:v>91</x:v>
      </x:c>
    </x:row>
    <x:row r="234" ht="22" customHeight="1">
      <x:c r="A234" s="68" t="str">
        <x:v>UP</x:v>
      </x:c>
      <x:c r="B234" s="68" t="str">
        <x:v>2026-02-18</x:v>
      </x:c>
      <x:c r="C234" s="68" t="str">
        <x:v>추풍령휴게소</x:v>
      </x:c>
      <x:c r="D234" s="68" t="n">
        <x:v>48</x:v>
      </x:c>
      <x:c r="E234" s="68" t="n">
        <x:v>139</x:v>
      </x:c>
      <x:c r="F234" s="68" t="n">
        <x:v>49</x:v>
      </x:c>
      <x:c r="G234" s="68" t="n">
        <x:v>188</x:v>
      </x:c>
      <x:c r="H234" s="68" t="n">
        <x:f>E234-D234</x:f>
        <x:v>91</x:v>
      </x:c>
      <x:c r="I234" s="68" t="n">
        <x:f>ABS(H234)</x:f>
        <x:v>91</x:v>
      </x:c>
      <x:c r="J234" s="70" t="n">
        <x:f>IF(D234=0,"",100*I234/D234)</x:f>
        <x:v>189.58333333333334</x:v>
      </x:c>
      <x:c r="K234" s="72" t="n">
        <x:v>1011.88334</x:v>
      </x:c>
      <x:c r="L234" s="72" t="n">
        <x:v>1439.01503</x:v>
      </x:c>
      <x:c r="M234" s="72" t="n">
        <x:f>L234-K234</x:f>
        <x:v>427.13169000000005</x:v>
      </x:c>
      <x:c r="N234" s="72" t="n">
        <x:f>ABS(M234)</x:f>
        <x:v>427.13169000000005</x:v>
      </x:c>
      <x:c r="O234" s="68" t="n">
        <x:f>G234-D234</x:f>
        <x:v>140</x:v>
      </x:c>
    </x:row>
    <x:row r="235" ht="22" customHeight="1">
      <x:c r="A235" s="68" t="str">
        <x:v>UP</x:v>
      </x:c>
      <x:c r="B235" s="68" t="str">
        <x:v>2026-02-18</x:v>
      </x:c>
      <x:c r="C235" s="68" t="str">
        <x:v>황간휴게소</x:v>
      </x:c>
      <x:c r="D235" s="68" t="n">
        <x:v>49</x:v>
      </x:c>
      <x:c r="E235" s="68" t="n">
        <x:v>67</x:v>
      </x:c>
      <x:c r="F235" s="68" t="n">
        <x:v>0</x:v>
      </x:c>
      <x:c r="G235" s="68" t="n">
        <x:v>67</x:v>
      </x:c>
      <x:c r="H235" s="68" t="n">
        <x:f>E235-D235</x:f>
        <x:v>18</x:v>
      </x:c>
      <x:c r="I235" s="68" t="n">
        <x:f>ABS(H235)</x:f>
        <x:v>18</x:v>
      </x:c>
      <x:c r="J235" s="70" t="n">
        <x:f>IF(D235=0,"",100*I235/D235)</x:f>
        <x:v>36.734693877551024</x:v>
      </x:c>
      <x:c r="K235" s="72" t="n">
        <x:v>1277.08334</x:v>
      </x:c>
      <x:c r="L235" s="72" t="n">
        <x:v>755.698778</x:v>
      </x:c>
      <x:c r="M235" s="72" t="n">
        <x:f>L235-K235</x:f>
        <x:v>-521.384562</x:v>
      </x:c>
      <x:c r="N235" s="72" t="n">
        <x:f>ABS(M235)</x:f>
        <x:v>521.384562</x:v>
      </x:c>
      <x:c r="O235" s="68" t="n">
        <x:f>G235-D235</x:f>
        <x:v>18</x:v>
      </x:c>
    </x:row>
    <x:row r="236" ht="22" customHeight="1">
      <x:c r="A236" s="68" t="str">
        <x:v>UP</x:v>
      </x:c>
      <x:c r="B236" s="68" t="str">
        <x:v>2026-02-19</x:v>
      </x:c>
      <x:c r="C236" s="68" t="str">
        <x:v>건천휴게소</x:v>
      </x:c>
      <x:c r="D236" s="68" t="n">
        <x:v>50</x:v>
      </x:c>
      <x:c r="E236" s="68" t="n">
        <x:v>29</x:v>
      </x:c>
      <x:c r="F236" s="68" t="n">
        <x:v>0</x:v>
      </x:c>
      <x:c r="G236" s="68" t="n">
        <x:v>29</x:v>
      </x:c>
      <x:c r="H236" s="68" t="n">
        <x:f>E236-D236</x:f>
        <x:v>-21</x:v>
      </x:c>
      <x:c r="I236" s="68" t="n">
        <x:f>ABS(H236)</x:f>
        <x:v>21</x:v>
      </x:c>
      <x:c r="J236" s="70" t="n">
        <x:f>IF(D236=0,"",100*I236/D236)</x:f>
        <x:v>42</x:v>
      </x:c>
      <x:c r="K236" s="72" t="n">
        <x:v>1411.51667</x:v>
      </x:c>
      <x:c r="L236" s="72" t="n">
        <x:v>550.615857</x:v>
      </x:c>
      <x:c r="M236" s="72" t="n">
        <x:f>L236-K236</x:f>
        <x:v>-860.900813</x:v>
      </x:c>
      <x:c r="N236" s="72" t="n">
        <x:f>ABS(M236)</x:f>
        <x:v>860.900813</x:v>
      </x:c>
      <x:c r="O236" s="68" t="n">
        <x:f>G236-D236</x:f>
        <x:v>-21</x:v>
      </x:c>
    </x:row>
    <x:row r="237" ht="22" customHeight="1">
      <x:c r="A237" s="68" t="str">
        <x:v>UP</x:v>
      </x:c>
      <x:c r="B237" s="68" t="str">
        <x:v>2026-02-19</x:v>
      </x:c>
      <x:c r="C237" s="68" t="str">
        <x:v>경산휴게소</x:v>
      </x:c>
      <x:c r="D237" s="68" t="n">
        <x:v>26</x:v>
      </x:c>
      <x:c r="E237" s="68" t="n">
        <x:v>36</x:v>
      </x:c>
      <x:c r="F237" s="68" t="n">
        <x:v>0</x:v>
      </x:c>
      <x:c r="G237" s="68" t="n">
        <x:v>36</x:v>
      </x:c>
      <x:c r="H237" s="68" t="n">
        <x:f>E237-D237</x:f>
        <x:v>10</x:v>
      </x:c>
      <x:c r="I237" s="68" t="n">
        <x:f>ABS(H237)</x:f>
        <x:v>10</x:v>
      </x:c>
      <x:c r="J237" s="70" t="n">
        <x:f>IF(D237=0,"",100*I237/D237)</x:f>
        <x:v>38.46153846153846</x:v>
      </x:c>
      <x:c r="K237" s="72" t="n">
        <x:v>609.5</x:v>
      </x:c>
      <x:c r="L237" s="72" t="n">
        <x:v>914.546125</x:v>
      </x:c>
      <x:c r="M237" s="72" t="n">
        <x:f>L237-K237</x:f>
        <x:v>305.04612499999996</x:v>
      </x:c>
      <x:c r="N237" s="72" t="n">
        <x:f>ABS(M237)</x:f>
        <x:v>305.04612499999996</x:v>
      </x:c>
      <x:c r="O237" s="68" t="n">
        <x:f>G237-D237</x:f>
        <x:v>10</x:v>
      </x:c>
    </x:row>
    <x:row r="238" ht="22" customHeight="1">
      <x:c r="A238" s="68" t="str">
        <x:v>UP</x:v>
      </x:c>
      <x:c r="B238" s="68" t="str">
        <x:v>2026-02-19</x:v>
      </x:c>
      <x:c r="C238" s="68" t="str">
        <x:v>김천휴게소</x:v>
      </x:c>
      <x:c r="D238" s="68" t="n">
        <x:v>5</x:v>
      </x:c>
      <x:c r="E238" s="68" t="n">
        <x:v>0</x:v>
      </x:c>
      <x:c r="F238" s="68" t="n">
        <x:v>78</x:v>
      </x:c>
      <x:c r="G238" s="68" t="n">
        <x:v>78</x:v>
      </x:c>
      <x:c r="H238" s="68" t="n">
        <x:f>E238-D238</x:f>
        <x:v>-5</x:v>
      </x:c>
      <x:c r="I238" s="68" t="n">
        <x:f>ABS(H238)</x:f>
        <x:v>5</x:v>
      </x:c>
      <x:c r="J238" s="70" t="n">
        <x:f>IF(D238=0,"",100*I238/D238)</x:f>
        <x:v>100</x:v>
      </x:c>
      <x:c r="K238" s="72" t="n">
        <x:v>141.05</x:v>
      </x:c>
      <x:c r="L238" s="72" t="n">
        <x:v>0</x:v>
      </x:c>
      <x:c r="M238" s="72" t="n">
        <x:f>L238-K238</x:f>
        <x:v>-141.05</x:v>
      </x:c>
      <x:c r="N238" s="72" t="n">
        <x:f>ABS(M238)</x:f>
        <x:v>141.05</x:v>
      </x:c>
      <x:c r="O238" s="68" t="n">
        <x:f>G238-D238</x:f>
        <x:v>73</x:v>
      </x:c>
    </x:row>
    <x:row r="239" ht="22" customHeight="1">
      <x:c r="A239" s="68" t="str">
        <x:v>UP</x:v>
      </x:c>
      <x:c r="B239" s="68" t="str">
        <x:v>2026-02-19</x:v>
      </x:c>
      <x:c r="C239" s="68" t="str">
        <x:v>신탄진휴게소</x:v>
      </x:c>
      <x:c r="D239" s="68" t="n">
        <x:v>70</x:v>
      </x:c>
      <x:c r="E239" s="68" t="n">
        <x:v>122</x:v>
      </x:c>
      <x:c r="F239" s="68" t="n">
        <x:v>28</x:v>
      </x:c>
      <x:c r="G239" s="68" t="n">
        <x:v>150</x:v>
      </x:c>
      <x:c r="H239" s="68" t="n">
        <x:f>E239-D239</x:f>
        <x:v>52</x:v>
      </x:c>
      <x:c r="I239" s="68" t="n">
        <x:f>ABS(H239)</x:f>
        <x:v>52</x:v>
      </x:c>
      <x:c r="J239" s="70" t="n">
        <x:f>IF(D239=0,"",100*I239/D239)</x:f>
        <x:v>74.28571428571429</x:v>
      </x:c>
      <x:c r="K239" s="72" t="n">
        <x:v>2046.70001</x:v>
      </x:c>
      <x:c r="L239" s="72" t="n">
        <x:v>899.27112</x:v>
      </x:c>
      <x:c r="M239" s="72" t="n">
        <x:f>L239-K239</x:f>
        <x:v>-1147.4288900000001</x:v>
      </x:c>
      <x:c r="N239" s="72" t="n">
        <x:f>ABS(M239)</x:f>
        <x:v>1147.4288900000001</x:v>
      </x:c>
      <x:c r="O239" s="68" t="n">
        <x:f>G239-D239</x:f>
        <x:v>80</x:v>
      </x:c>
    </x:row>
    <x:row r="240" ht="22" customHeight="1">
      <x:c r="A240" s="68" t="str">
        <x:v>UP</x:v>
      </x:c>
      <x:c r="B240" s="68" t="str">
        <x:v>2026-02-19</x:v>
      </x:c>
      <x:c r="C240" s="68" t="str">
        <x:v>안성휴게소</x:v>
      </x:c>
      <x:c r="D240" s="68" t="n">
        <x:v>55</x:v>
      </x:c>
      <x:c r="E240" s="68" t="n">
        <x:v>2</x:v>
      </x:c>
      <x:c r="F240" s="68" t="n">
        <x:v>242</x:v>
      </x:c>
      <x:c r="G240" s="68" t="n">
        <x:v>244</x:v>
      </x:c>
      <x:c r="H240" s="68" t="n">
        <x:f>E240-D240</x:f>
        <x:v>-53</x:v>
      </x:c>
      <x:c r="I240" s="68" t="n">
        <x:f>ABS(H240)</x:f>
        <x:v>53</x:v>
      </x:c>
      <x:c r="J240" s="70" t="n">
        <x:f>IF(D240=0,"",100*I240/D240)</x:f>
        <x:v>96.36363636363636</x:v>
      </x:c>
      <x:c r="K240" s="72" t="n">
        <x:v>1514.29999</x:v>
      </x:c>
      <x:c r="L240" s="72" t="n">
        <x:v>9.308813</x:v>
      </x:c>
      <x:c r="M240" s="72" t="n">
        <x:f>L240-K240</x:f>
        <x:v>-1504.9911769999999</x:v>
      </x:c>
      <x:c r="N240" s="72" t="n">
        <x:f>ABS(M240)</x:f>
        <x:v>1504.9911769999999</x:v>
      </x:c>
      <x:c r="O240" s="68" t="n">
        <x:f>G240-D240</x:f>
        <x:v>189</x:v>
      </x:c>
    </x:row>
    <x:row r="241" ht="22" customHeight="1">
      <x:c r="A241" s="68" t="str">
        <x:v>UP</x:v>
      </x:c>
      <x:c r="B241" s="68" t="str">
        <x:v>2026-02-19</x:v>
      </x:c>
      <x:c r="C241" s="68" t="str">
        <x:v>양산휴게소</x:v>
      </x:c>
      <x:c r="D241" s="68" t="n">
        <x:v>19</x:v>
      </x:c>
      <x:c r="E241" s="68" t="n">
        <x:v>0</x:v>
      </x:c>
      <x:c r="F241" s="68" t="n">
        <x:v>25</x:v>
      </x:c>
      <x:c r="G241" s="68" t="n">
        <x:v>25</x:v>
      </x:c>
      <x:c r="H241" s="68" t="n">
        <x:f>E241-D241</x:f>
        <x:v>-19</x:v>
      </x:c>
      <x:c r="I241" s="68" t="n">
        <x:f>ABS(H241)</x:f>
        <x:v>19</x:v>
      </x:c>
      <x:c r="J241" s="70" t="n">
        <x:f>IF(D241=0,"",100*I241/D241)</x:f>
        <x:v>100</x:v>
      </x:c>
      <x:c r="K241" s="72" t="n">
        <x:v>602</x:v>
      </x:c>
      <x:c r="L241" s="72" t="n">
        <x:v>0</x:v>
      </x:c>
      <x:c r="M241" s="72" t="n">
        <x:f>L241-K241</x:f>
        <x:v>-602</x:v>
      </x:c>
      <x:c r="N241" s="72" t="n">
        <x:f>ABS(M241)</x:f>
        <x:v>602</x:v>
      </x:c>
      <x:c r="O241" s="68" t="n">
        <x:f>G241-D241</x:f>
        <x:v>6</x:v>
      </x:c>
    </x:row>
    <x:row r="242" ht="22" customHeight="1">
      <x:c r="A242" s="68" t="str">
        <x:v>UP</x:v>
      </x:c>
      <x:c r="B242" s="68" t="str">
        <x:v>2026-02-19</x:v>
      </x:c>
      <x:c r="C242" s="68" t="str">
        <x:v>언양휴게소</x:v>
      </x:c>
      <x:c r="D242" s="68" t="n">
        <x:v>3</x:v>
      </x:c>
      <x:c r="E242" s="68" t="n">
        <x:v>4</x:v>
      </x:c>
      <x:c r="F242" s="68" t="n">
        <x:v>243</x:v>
      </x:c>
      <x:c r="G242" s="68" t="n">
        <x:v>247</x:v>
      </x:c>
      <x:c r="H242" s="68" t="n">
        <x:f>E242-D242</x:f>
        <x:v>1</x:v>
      </x:c>
      <x:c r="I242" s="68" t="n">
        <x:f>ABS(H242)</x:f>
        <x:v>1</x:v>
      </x:c>
      <x:c r="J242" s="70" t="n">
        <x:f>IF(D242=0,"",100*I242/D242)</x:f>
        <x:v>33.333333333333336</x:v>
      </x:c>
      <x:c r="K242" s="72" t="n">
        <x:v>131.11667</x:v>
      </x:c>
      <x:c r="L242" s="72" t="n">
        <x:v>80.875934</x:v>
      </x:c>
      <x:c r="M242" s="72" t="n">
        <x:f>L242-K242</x:f>
        <x:v>-50.240736</x:v>
      </x:c>
      <x:c r="N242" s="72" t="n">
        <x:f>ABS(M242)</x:f>
        <x:v>50.240736</x:v>
      </x:c>
      <x:c r="O242" s="68" t="n">
        <x:f>G242-D242</x:f>
        <x:v>244</x:v>
      </x:c>
    </x:row>
    <x:row r="243" ht="22" customHeight="1">
      <x:c r="A243" s="68" t="str">
        <x:v>UP</x:v>
      </x:c>
      <x:c r="B243" s="68" t="str">
        <x:v>2026-02-19</x:v>
      </x:c>
      <x:c r="C243" s="68" t="str">
        <x:v>입장거봉포도휴게소</x:v>
      </x:c>
      <x:c r="D243" s="68" t="n">
        <x:v>44</x:v>
      </x:c>
      <x:c r="E243" s="68" t="n">
        <x:v>64</x:v>
      </x:c>
      <x:c r="F243" s="68" t="n">
        <x:v>0</x:v>
      </x:c>
      <x:c r="G243" s="68" t="n">
        <x:v>64</x:v>
      </x:c>
      <x:c r="H243" s="68" t="n">
        <x:f>E243-D243</x:f>
        <x:v>20</x:v>
      </x:c>
      <x:c r="I243" s="68" t="n">
        <x:f>ABS(H243)</x:f>
        <x:v>20</x:v>
      </x:c>
      <x:c r="J243" s="70" t="n">
        <x:f>IF(D243=0,"",100*I243/D243)</x:f>
        <x:v>45.45454545454545</x:v>
      </x:c>
      <x:c r="K243" s="72" t="n">
        <x:v>1100.31664</x:v>
      </x:c>
      <x:c r="L243" s="72" t="n">
        <x:v>363.020683</x:v>
      </x:c>
      <x:c r="M243" s="72" t="n">
        <x:f>L243-K243</x:f>
        <x:v>-737.295957</x:v>
      </x:c>
      <x:c r="N243" s="72" t="n">
        <x:f>ABS(M243)</x:f>
        <x:v>737.295957</x:v>
      </x:c>
      <x:c r="O243" s="68" t="n">
        <x:f>G243-D243</x:f>
        <x:v>20</x:v>
      </x:c>
    </x:row>
    <x:row r="244" ht="22" customHeight="1">
      <x:c r="A244" s="68" t="str">
        <x:v>UP</x:v>
      </x:c>
      <x:c r="B244" s="68" t="str">
        <x:v>2026-02-19</x:v>
      </x:c>
      <x:c r="C244" s="68" t="str">
        <x:v>죽암휴게소</x:v>
      </x:c>
      <x:c r="D244" s="68" t="n">
        <x:v>75</x:v>
      </x:c>
      <x:c r="E244" s="68" t="n">
        <x:v>1</x:v>
      </x:c>
      <x:c r="F244" s="68" t="n">
        <x:v>0</x:v>
      </x:c>
      <x:c r="G244" s="68" t="n">
        <x:v>1</x:v>
      </x:c>
      <x:c r="H244" s="68" t="n">
        <x:f>E244-D244</x:f>
        <x:v>-74</x:v>
      </x:c>
      <x:c r="I244" s="68" t="n">
        <x:f>ABS(H244)</x:f>
        <x:v>74</x:v>
      </x:c>
      <x:c r="J244" s="70" t="n">
        <x:f>IF(D244=0,"",100*I244/D244)</x:f>
        <x:v>98.66666666666667</x:v>
      </x:c>
      <x:c r="K244" s="72" t="n">
        <x:v>2152.06668</x:v>
      </x:c>
      <x:c r="L244" s="72" t="n">
        <x:v>38.199864</x:v>
      </x:c>
      <x:c r="M244" s="72" t="n">
        <x:f>L244-K244</x:f>
        <x:v>-2113.8668159999997</x:v>
      </x:c>
      <x:c r="N244" s="72" t="n">
        <x:f>ABS(M244)</x:f>
        <x:v>2113.8668159999997</x:v>
      </x:c>
      <x:c r="O244" s="68" t="n">
        <x:f>G244-D244</x:f>
        <x:v>-74</x:v>
      </x:c>
    </x:row>
    <x:row r="245" ht="22" customHeight="1">
      <x:c r="A245" s="68" t="str">
        <x:v>UP</x:v>
      </x:c>
      <x:c r="B245" s="68" t="str">
        <x:v>2026-02-19</x:v>
      </x:c>
      <x:c r="C245" s="68" t="str">
        <x:v>죽전휴게소</x:v>
      </x:c>
      <x:c r="D245" s="68" t="n">
        <x:v>73</x:v>
      </x:c>
      <x:c r="E245" s="68" t="n">
        <x:v>8</x:v>
      </x:c>
      <x:c r="F245" s="68" t="n">
        <x:v>0</x:v>
      </x:c>
      <x:c r="G245" s="68" t="n">
        <x:v>8</x:v>
      </x:c>
      <x:c r="H245" s="68" t="n">
        <x:f>E245-D245</x:f>
        <x:v>-65</x:v>
      </x:c>
      <x:c r="I245" s="68" t="n">
        <x:f>ABS(H245)</x:f>
        <x:v>65</x:v>
      </x:c>
      <x:c r="J245" s="70" t="n">
        <x:f>IF(D245=0,"",100*I245/D245)</x:f>
        <x:v>89.04109589041096</x:v>
      </x:c>
      <x:c r="K245" s="72" t="n">
        <x:v>1770.41666</x:v>
      </x:c>
      <x:c r="L245" s="72" t="n">
        <x:v>7.739891</x:v>
      </x:c>
      <x:c r="M245" s="72" t="n">
        <x:f>L245-K245</x:f>
        <x:v>-1762.6767690000001</x:v>
      </x:c>
      <x:c r="N245" s="72" t="n">
        <x:f>ABS(M245)</x:f>
        <x:v>1762.6767690000001</x:v>
      </x:c>
      <x:c r="O245" s="68" t="n">
        <x:f>G245-D245</x:f>
        <x:v>-65</x:v>
      </x:c>
    </x:row>
    <x:row r="246" ht="22" customHeight="1">
      <x:c r="A246" s="68" t="str">
        <x:v>UP</x:v>
      </x:c>
      <x:c r="B246" s="68" t="str">
        <x:v>2026-02-19</x:v>
      </x:c>
      <x:c r="C246" s="68" t="str">
        <x:v>천안삼거리휴게소</x:v>
      </x:c>
      <x:c r="D246" s="68" t="n">
        <x:v>112</x:v>
      </x:c>
      <x:c r="E246" s="68" t="n">
        <x:v>59</x:v>
      </x:c>
      <x:c r="F246" s="68" t="n">
        <x:v>0</x:v>
      </x:c>
      <x:c r="G246" s="68" t="n">
        <x:v>59</x:v>
      </x:c>
      <x:c r="H246" s="68" t="n">
        <x:f>E246-D246</x:f>
        <x:v>-53</x:v>
      </x:c>
      <x:c r="I246" s="68" t="n">
        <x:f>ABS(H246)</x:f>
        <x:v>53</x:v>
      </x:c>
      <x:c r="J246" s="70" t="n">
        <x:f>IF(D246=0,"",100*I246/D246)</x:f>
        <x:v>47.32142857142857</x:v>
      </x:c>
      <x:c r="K246" s="72" t="n">
        <x:v>3026.59998</x:v>
      </x:c>
      <x:c r="L246" s="72" t="n">
        <x:v>678.122883</x:v>
      </x:c>
      <x:c r="M246" s="72" t="n">
        <x:f>L246-K246</x:f>
        <x:v>-2348.477097</x:v>
      </x:c>
      <x:c r="N246" s="72" t="n">
        <x:f>ABS(M246)</x:f>
        <x:v>2348.477097</x:v>
      </x:c>
      <x:c r="O246" s="68" t="n">
        <x:f>G246-D246</x:f>
        <x:v>-53</x:v>
      </x:c>
    </x:row>
    <x:row r="247" ht="22" customHeight="1">
      <x:c r="A247" s="68" t="str">
        <x:v>UP</x:v>
      </x:c>
      <x:c r="B247" s="68" t="str">
        <x:v>2026-02-19</x:v>
      </x:c>
      <x:c r="C247" s="68" t="str">
        <x:v>청주휴게소</x:v>
      </x:c>
      <x:c r="D247" s="68" t="n">
        <x:v>35</x:v>
      </x:c>
      <x:c r="E247" s="68" t="n">
        <x:v>0</x:v>
      </x:c>
      <x:c r="F247" s="68" t="n">
        <x:v>108</x:v>
      </x:c>
      <x:c r="G247" s="68" t="n">
        <x:v>108</x:v>
      </x:c>
      <x:c r="H247" s="68" t="n">
        <x:f>E247-D247</x:f>
        <x:v>-35</x:v>
      </x:c>
      <x:c r="I247" s="68" t="n">
        <x:f>ABS(H247)</x:f>
        <x:v>35</x:v>
      </x:c>
      <x:c r="J247" s="70" t="n">
        <x:f>IF(D247=0,"",100*I247/D247)</x:f>
        <x:v>100</x:v>
      </x:c>
      <x:c r="K247" s="72" t="n">
        <x:v>832</x:v>
      </x:c>
      <x:c r="L247" s="72" t="n">
        <x:v>0</x:v>
      </x:c>
      <x:c r="M247" s="72" t="n">
        <x:f>L247-K247</x:f>
        <x:v>-832</x:v>
      </x:c>
      <x:c r="N247" s="72" t="n">
        <x:f>ABS(M247)</x:f>
        <x:v>832</x:v>
      </x:c>
      <x:c r="O247" s="68" t="n">
        <x:f>G247-D247</x:f>
        <x:v>73</x:v>
      </x:c>
    </x:row>
    <x:row r="248" ht="22" customHeight="1">
      <x:c r="A248" s="68" t="str">
        <x:v>UP</x:v>
      </x:c>
      <x:c r="B248" s="68" t="str">
        <x:v>2026-02-19</x:v>
      </x:c>
      <x:c r="C248" s="68" t="str">
        <x:v>추풍령휴게소</x:v>
      </x:c>
      <x:c r="D248" s="68" t="n">
        <x:v>25</x:v>
      </x:c>
      <x:c r="E248" s="68" t="n">
        <x:v>114</x:v>
      </x:c>
      <x:c r="F248" s="68" t="n">
        <x:v>32</x:v>
      </x:c>
      <x:c r="G248" s="68" t="n">
        <x:v>146</x:v>
      </x:c>
      <x:c r="H248" s="68" t="n">
        <x:f>E248-D248</x:f>
        <x:v>89</x:v>
      </x:c>
      <x:c r="I248" s="68" t="n">
        <x:f>ABS(H248)</x:f>
        <x:v>89</x:v>
      </x:c>
      <x:c r="J248" s="70" t="n">
        <x:f>IF(D248=0,"",100*I248/D248)</x:f>
        <x:v>356</x:v>
      </x:c>
      <x:c r="K248" s="72" t="n">
        <x:v>569.41668</x:v>
      </x:c>
      <x:c r="L248" s="72" t="n">
        <x:v>1155.079627</x:v>
      </x:c>
      <x:c r="M248" s="72" t="n">
        <x:f>L248-K248</x:f>
        <x:v>585.662947</x:v>
      </x:c>
      <x:c r="N248" s="72" t="n">
        <x:f>ABS(M248)</x:f>
        <x:v>585.662947</x:v>
      </x:c>
      <x:c r="O248" s="68" t="n">
        <x:f>G248-D248</x:f>
        <x:v>121</x:v>
      </x:c>
    </x:row>
    <x:row r="249" ht="22" customHeight="1">
      <x:c r="A249" s="68" t="str">
        <x:v>UP</x:v>
      </x:c>
      <x:c r="B249" s="68" t="str">
        <x:v>2026-02-19</x:v>
      </x:c>
      <x:c r="C249" s="68" t="str">
        <x:v>황간휴게소</x:v>
      </x:c>
      <x:c r="D249" s="68" t="n">
        <x:v>31</x:v>
      </x:c>
      <x:c r="E249" s="68" t="n">
        <x:v>51</x:v>
      </x:c>
      <x:c r="F249" s="68" t="n">
        <x:v>0</x:v>
      </x:c>
      <x:c r="G249" s="68" t="n">
        <x:v>51</x:v>
      </x:c>
      <x:c r="H249" s="68" t="n">
        <x:f>E249-D249</x:f>
        <x:v>20</x:v>
      </x:c>
      <x:c r="I249" s="68" t="n">
        <x:f>ABS(H249)</x:f>
        <x:v>20</x:v>
      </x:c>
      <x:c r="J249" s="70" t="n">
        <x:f>IF(D249=0,"",100*I249/D249)</x:f>
        <x:v>64.51612903225806</x:v>
      </x:c>
      <x:c r="K249" s="72" t="n">
        <x:v>658.28334</x:v>
      </x:c>
      <x:c r="L249" s="72" t="n">
        <x:v>606.319664</x:v>
      </x:c>
      <x:c r="M249" s="72" t="n">
        <x:f>L249-K249</x:f>
        <x:v>-51.963675999999964</x:v>
      </x:c>
      <x:c r="N249" s="72" t="n">
        <x:f>ABS(M249)</x:f>
        <x:v>51.963675999999964</x:v>
      </x:c>
      <x:c r="O249" s="68" t="n">
        <x:f>G249-D249</x:f>
        <x:v>20</x:v>
      </x:c>
    </x:row>
    <x:row r="250" ht="22" customHeight="1">
      <x:c r="A250" s="68" t="str">
        <x:v>UP</x:v>
      </x:c>
      <x:c r="B250" s="68" t="str">
        <x:v>2026-02-20</x:v>
      </x:c>
      <x:c r="C250" s="68" t="str">
        <x:v>건천휴게소</x:v>
      </x:c>
      <x:c r="D250" s="68" t="n">
        <x:v>51</x:v>
      </x:c>
      <x:c r="E250" s="68" t="n">
        <x:v>28</x:v>
      </x:c>
      <x:c r="F250" s="68" t="n">
        <x:v>0</x:v>
      </x:c>
      <x:c r="G250" s="68" t="n">
        <x:v>28</x:v>
      </x:c>
      <x:c r="H250" s="68" t="n">
        <x:f>E250-D250</x:f>
        <x:v>-23</x:v>
      </x:c>
      <x:c r="I250" s="68" t="n">
        <x:f>ABS(H250)</x:f>
        <x:v>23</x:v>
      </x:c>
      <x:c r="J250" s="70" t="n">
        <x:f>IF(D250=0,"",100*I250/D250)</x:f>
        <x:v>45.09803921568628</x:v>
      </x:c>
      <x:c r="K250" s="72" t="n">
        <x:v>1689.15</x:v>
      </x:c>
      <x:c r="L250" s="72" t="n">
        <x:v>697.590154</x:v>
      </x:c>
      <x:c r="M250" s="72" t="n">
        <x:f>L250-K250</x:f>
        <x:v>-991.5598460000001</x:v>
      </x:c>
      <x:c r="N250" s="72" t="n">
        <x:f>ABS(M250)</x:f>
        <x:v>991.5598460000001</x:v>
      </x:c>
      <x:c r="O250" s="68" t="n">
        <x:f>G250-D250</x:f>
        <x:v>-23</x:v>
      </x:c>
    </x:row>
    <x:row r="251" ht="22" customHeight="1">
      <x:c r="A251" s="68" t="str">
        <x:v>UP</x:v>
      </x:c>
      <x:c r="B251" s="68" t="str">
        <x:v>2026-02-20</x:v>
      </x:c>
      <x:c r="C251" s="68" t="str">
        <x:v>경산휴게소</x:v>
      </x:c>
      <x:c r="D251" s="68" t="n">
        <x:v>42</x:v>
      </x:c>
      <x:c r="E251" s="68" t="n">
        <x:v>43</x:v>
      </x:c>
      <x:c r="F251" s="68" t="n">
        <x:v>0</x:v>
      </x:c>
      <x:c r="G251" s="68" t="n">
        <x:v>43</x:v>
      </x:c>
      <x:c r="H251" s="68" t="n">
        <x:f>E251-D251</x:f>
        <x:v>1</x:v>
      </x:c>
      <x:c r="I251" s="68" t="n">
        <x:f>ABS(H251)</x:f>
        <x:v>1</x:v>
      </x:c>
      <x:c r="J251" s="70" t="n">
        <x:f>IF(D251=0,"",100*I251/D251)</x:f>
        <x:v>2.380952380952381</x:v>
      </x:c>
      <x:c r="K251" s="72" t="n">
        <x:v>1120.56667</x:v>
      </x:c>
      <x:c r="L251" s="72" t="n">
        <x:v>960.108658</x:v>
      </x:c>
      <x:c r="M251" s="72" t="n">
        <x:f>L251-K251</x:f>
        <x:v>-160.45801199999994</x:v>
      </x:c>
      <x:c r="N251" s="72" t="n">
        <x:f>ABS(M251)</x:f>
        <x:v>160.45801199999994</x:v>
      </x:c>
      <x:c r="O251" s="68" t="n">
        <x:f>G251-D251</x:f>
        <x:v>1</x:v>
      </x:c>
    </x:row>
    <x:row r="252" ht="22" customHeight="1">
      <x:c r="A252" s="68" t="str">
        <x:v>UP</x:v>
      </x:c>
      <x:c r="B252" s="68" t="str">
        <x:v>2026-02-20</x:v>
      </x:c>
      <x:c r="C252" s="68" t="str">
        <x:v>김천휴게소</x:v>
      </x:c>
      <x:c r="D252" s="68" t="n">
        <x:v>5</x:v>
      </x:c>
      <x:c r="E252" s="68" t="n">
        <x:v>1</x:v>
      </x:c>
      <x:c r="F252" s="68" t="n">
        <x:v>85</x:v>
      </x:c>
      <x:c r="G252" s="68" t="n">
        <x:v>86</x:v>
      </x:c>
      <x:c r="H252" s="68" t="n">
        <x:f>E252-D252</x:f>
        <x:v>-4</x:v>
      </x:c>
      <x:c r="I252" s="68" t="n">
        <x:f>ABS(H252)</x:f>
        <x:v>4</x:v>
      </x:c>
      <x:c r="J252" s="70" t="n">
        <x:f>IF(D252=0,"",100*I252/D252)</x:f>
        <x:v>80</x:v>
      </x:c>
      <x:c r="K252" s="72" t="n">
        <x:v>88.49999</x:v>
      </x:c>
      <x:c r="L252" s="72" t="n">
        <x:v>3.649231</x:v>
      </x:c>
      <x:c r="M252" s="72" t="n">
        <x:f>L252-K252</x:f>
        <x:v>-84.850759</x:v>
      </x:c>
      <x:c r="N252" s="72" t="n">
        <x:f>ABS(M252)</x:f>
        <x:v>84.850759</x:v>
      </x:c>
      <x:c r="O252" s="68" t="n">
        <x:f>G252-D252</x:f>
        <x:v>81</x:v>
      </x:c>
    </x:row>
    <x:row r="253" ht="22" customHeight="1">
      <x:c r="A253" s="68" t="str">
        <x:v>UP</x:v>
      </x:c>
      <x:c r="B253" s="68" t="str">
        <x:v>2026-02-20</x:v>
      </x:c>
      <x:c r="C253" s="68" t="str">
        <x:v>신탄진휴게소</x:v>
      </x:c>
      <x:c r="D253" s="68" t="n">
        <x:v>90</x:v>
      </x:c>
      <x:c r="E253" s="68" t="n">
        <x:v>127</x:v>
      </x:c>
      <x:c r="F253" s="68" t="n">
        <x:v>33</x:v>
      </x:c>
      <x:c r="G253" s="68" t="n">
        <x:v>160</x:v>
      </x:c>
      <x:c r="H253" s="68" t="n">
        <x:f>E253-D253</x:f>
        <x:v>37</x:v>
      </x:c>
      <x:c r="I253" s="68" t="n">
        <x:f>ABS(H253)</x:f>
        <x:v>37</x:v>
      </x:c>
      <x:c r="J253" s="70" t="n">
        <x:f>IF(D253=0,"",100*I253/D253)</x:f>
        <x:v>41.111111111111114</x:v>
      </x:c>
      <x:c r="K253" s="72" t="n">
        <x:v>2329.98334</x:v>
      </x:c>
      <x:c r="L253" s="72" t="n">
        <x:v>966.465532</x:v>
      </x:c>
      <x:c r="M253" s="72" t="n">
        <x:f>L253-K253</x:f>
        <x:v>-1363.517808</x:v>
      </x:c>
      <x:c r="N253" s="72" t="n">
        <x:f>ABS(M253)</x:f>
        <x:v>1363.517808</x:v>
      </x:c>
      <x:c r="O253" s="68" t="n">
        <x:f>G253-D253</x:f>
        <x:v>70</x:v>
      </x:c>
    </x:row>
    <x:row r="254" ht="22" customHeight="1">
      <x:c r="A254" s="68" t="str">
        <x:v>UP</x:v>
      </x:c>
      <x:c r="B254" s="68" t="str">
        <x:v>2026-02-20</x:v>
      </x:c>
      <x:c r="C254" s="68" t="str">
        <x:v>안성휴게소</x:v>
      </x:c>
      <x:c r="D254" s="68" t="n">
        <x:v>56</x:v>
      </x:c>
      <x:c r="E254" s="68" t="n">
        <x:v>0</x:v>
      </x:c>
      <x:c r="F254" s="68" t="n">
        <x:v>224</x:v>
      </x:c>
      <x:c r="G254" s="68" t="n">
        <x:v>224</x:v>
      </x:c>
      <x:c r="H254" s="68" t="n">
        <x:f>E254-D254</x:f>
        <x:v>-56</x:v>
      </x:c>
      <x:c r="I254" s="68" t="n">
        <x:f>ABS(H254)</x:f>
        <x:v>56</x:v>
      </x:c>
      <x:c r="J254" s="70" t="n">
        <x:f>IF(D254=0,"",100*I254/D254)</x:f>
        <x:v>100</x:v>
      </x:c>
      <x:c r="K254" s="72" t="n">
        <x:v>1627.98334</x:v>
      </x:c>
      <x:c r="L254" s="72" t="n">
        <x:v>0</x:v>
      </x:c>
      <x:c r="M254" s="72" t="n">
        <x:f>L254-K254</x:f>
        <x:v>-1627.98334</x:v>
      </x:c>
      <x:c r="N254" s="72" t="n">
        <x:f>ABS(M254)</x:f>
        <x:v>1627.98334</x:v>
      </x:c>
      <x:c r="O254" s="68" t="n">
        <x:f>G254-D254</x:f>
        <x:v>168</x:v>
      </x:c>
    </x:row>
    <x:row r="255" ht="22" customHeight="1">
      <x:c r="A255" s="68" t="str">
        <x:v>UP</x:v>
      </x:c>
      <x:c r="B255" s="68" t="str">
        <x:v>2026-02-20</x:v>
      </x:c>
      <x:c r="C255" s="68" t="str">
        <x:v>양산휴게소</x:v>
      </x:c>
      <x:c r="D255" s="68" t="n">
        <x:v>14</x:v>
      </x:c>
      <x:c r="E255" s="68" t="n">
        <x:v>0</x:v>
      </x:c>
      <x:c r="F255" s="68" t="n">
        <x:v>14</x:v>
      </x:c>
      <x:c r="G255" s="68" t="n">
        <x:v>14</x:v>
      </x:c>
      <x:c r="H255" s="68" t="n">
        <x:f>E255-D255</x:f>
        <x:v>-14</x:v>
      </x:c>
      <x:c r="I255" s="68" t="n">
        <x:f>ABS(H255)</x:f>
        <x:v>14</x:v>
      </x:c>
      <x:c r="J255" s="70" t="n">
        <x:f>IF(D255=0,"",100*I255/D255)</x:f>
        <x:v>100</x:v>
      </x:c>
      <x:c r="K255" s="72" t="n">
        <x:v>364.33333</x:v>
      </x:c>
      <x:c r="L255" s="72" t="n">
        <x:v>0</x:v>
      </x:c>
      <x:c r="M255" s="72" t="n">
        <x:f>L255-K255</x:f>
        <x:v>-364.33333</x:v>
      </x:c>
      <x:c r="N255" s="72" t="n">
        <x:f>ABS(M255)</x:f>
        <x:v>364.33333</x:v>
      </x:c>
      <x:c r="O255" s="68" t="n">
        <x:f>G255-D255</x:f>
        <x:v>0</x:v>
      </x:c>
    </x:row>
    <x:row r="256" ht="22" customHeight="1">
      <x:c r="A256" s="68" t="str">
        <x:v>UP</x:v>
      </x:c>
      <x:c r="B256" s="68" t="str">
        <x:v>2026-02-20</x:v>
      </x:c>
      <x:c r="C256" s="68" t="str">
        <x:v>언양휴게소</x:v>
      </x:c>
      <x:c r="D256" s="68" t="n">
        <x:v>8</x:v>
      </x:c>
      <x:c r="E256" s="68" t="n">
        <x:v>4</x:v>
      </x:c>
      <x:c r="F256" s="68" t="n">
        <x:v>246</x:v>
      </x:c>
      <x:c r="G256" s="68" t="n">
        <x:v>250</x:v>
      </x:c>
      <x:c r="H256" s="68" t="n">
        <x:f>E256-D256</x:f>
        <x:v>-4</x:v>
      </x:c>
      <x:c r="I256" s="68" t="n">
        <x:f>ABS(H256)</x:f>
        <x:v>4</x:v>
      </x:c>
      <x:c r="J256" s="70" t="n">
        <x:f>IF(D256=0,"",100*I256/D256)</x:f>
        <x:v>50</x:v>
      </x:c>
      <x:c r="K256" s="72" t="n">
        <x:v>203</x:v>
      </x:c>
      <x:c r="L256" s="72" t="n">
        <x:v>21.454155</x:v>
      </x:c>
      <x:c r="M256" s="72" t="n">
        <x:f>L256-K256</x:f>
        <x:v>-181.54584499999999</x:v>
      </x:c>
      <x:c r="N256" s="72" t="n">
        <x:f>ABS(M256)</x:f>
        <x:v>181.54584499999999</x:v>
      </x:c>
      <x:c r="O256" s="68" t="n">
        <x:f>G256-D256</x:f>
        <x:v>242</x:v>
      </x:c>
    </x:row>
    <x:row r="257" ht="22" customHeight="1">
      <x:c r="A257" s="68" t="str">
        <x:v>UP</x:v>
      </x:c>
      <x:c r="B257" s="68" t="str">
        <x:v>2026-02-20</x:v>
      </x:c>
      <x:c r="C257" s="68" t="str">
        <x:v>입장거봉포도휴게소</x:v>
      </x:c>
      <x:c r="D257" s="68" t="n">
        <x:v>55</x:v>
      </x:c>
      <x:c r="E257" s="68" t="n">
        <x:v>42</x:v>
      </x:c>
      <x:c r="F257" s="68" t="n">
        <x:v>0</x:v>
      </x:c>
      <x:c r="G257" s="68" t="n">
        <x:v>42</x:v>
      </x:c>
      <x:c r="H257" s="68" t="n">
        <x:f>E257-D257</x:f>
        <x:v>-13</x:v>
      </x:c>
      <x:c r="I257" s="68" t="n">
        <x:f>ABS(H257)</x:f>
        <x:v>13</x:v>
      </x:c>
      <x:c r="J257" s="70" t="n">
        <x:f>IF(D257=0,"",100*I257/D257)</x:f>
        <x:v>23.636363636363637</x:v>
      </x:c>
      <x:c r="K257" s="72" t="n">
        <x:v>1645.38334</x:v>
      </x:c>
      <x:c r="L257" s="72" t="n">
        <x:v>188.991493</x:v>
      </x:c>
      <x:c r="M257" s="72" t="n">
        <x:f>L257-K257</x:f>
        <x:v>-1456.391847</x:v>
      </x:c>
      <x:c r="N257" s="72" t="n">
        <x:f>ABS(M257)</x:f>
        <x:v>1456.391847</x:v>
      </x:c>
      <x:c r="O257" s="68" t="n">
        <x:f>G257-D257</x:f>
        <x:v>-13</x:v>
      </x:c>
    </x:row>
    <x:row r="258" ht="22" customHeight="1">
      <x:c r="A258" s="68" t="str">
        <x:v>UP</x:v>
      </x:c>
      <x:c r="B258" s="68" t="str">
        <x:v>2026-02-20</x:v>
      </x:c>
      <x:c r="C258" s="68" t="str">
        <x:v>죽암휴게소</x:v>
      </x:c>
      <x:c r="D258" s="68" t="n">
        <x:v>67</x:v>
      </x:c>
      <x:c r="E258" s="68" t="n">
        <x:v>1</x:v>
      </x:c>
      <x:c r="F258" s="68" t="n">
        <x:v>0</x:v>
      </x:c>
      <x:c r="G258" s="68" t="n">
        <x:v>1</x:v>
      </x:c>
      <x:c r="H258" s="68" t="n">
        <x:f>E258-D258</x:f>
        <x:v>-66</x:v>
      </x:c>
      <x:c r="I258" s="68" t="n">
        <x:f>ABS(H258)</x:f>
        <x:v>66</x:v>
      </x:c>
      <x:c r="J258" s="70" t="n">
        <x:f>IF(D258=0,"",100*I258/D258)</x:f>
        <x:v>98.50746268656717</x:v>
      </x:c>
      <x:c r="K258" s="72" t="n">
        <x:v>1760.68333</x:v>
      </x:c>
      <x:c r="L258" s="72" t="n">
        <x:v>2.674172</x:v>
      </x:c>
      <x:c r="M258" s="72" t="n">
        <x:f>L258-K258</x:f>
        <x:v>-1758.009158</x:v>
      </x:c>
      <x:c r="N258" s="72" t="n">
        <x:f>ABS(M258)</x:f>
        <x:v>1758.009158</x:v>
      </x:c>
      <x:c r="O258" s="68" t="n">
        <x:f>G258-D258</x:f>
        <x:v>-66</x:v>
      </x:c>
    </x:row>
    <x:row r="259" ht="22" customHeight="1">
      <x:c r="A259" s="68" t="str">
        <x:v>UP</x:v>
      </x:c>
      <x:c r="B259" s="68" t="str">
        <x:v>2026-02-20</x:v>
      </x:c>
      <x:c r="C259" s="68" t="str">
        <x:v>죽전휴게소</x:v>
      </x:c>
      <x:c r="D259" s="68" t="n">
        <x:v>88</x:v>
      </x:c>
      <x:c r="E259" s="68" t="n">
        <x:v>1</x:v>
      </x:c>
      <x:c r="F259" s="68" t="n">
        <x:v>0</x:v>
      </x:c>
      <x:c r="G259" s="68" t="n">
        <x:v>1</x:v>
      </x:c>
      <x:c r="H259" s="68" t="n">
        <x:f>E259-D259</x:f>
        <x:v>-87</x:v>
      </x:c>
      <x:c r="I259" s="68" t="n">
        <x:f>ABS(H259)</x:f>
        <x:v>87</x:v>
      </x:c>
      <x:c r="J259" s="70" t="n">
        <x:f>IF(D259=0,"",100*I259/D259)</x:f>
        <x:v>98.86363636363636</x:v>
      </x:c>
      <x:c r="K259" s="72" t="n">
        <x:v>2085.03333</x:v>
      </x:c>
      <x:c r="L259" s="72" t="n">
        <x:v>0.557488</x:v>
      </x:c>
      <x:c r="M259" s="72" t="n">
        <x:f>L259-K259</x:f>
        <x:v>-2084.4758420000003</x:v>
      </x:c>
      <x:c r="N259" s="72" t="n">
        <x:f>ABS(M259)</x:f>
        <x:v>2084.4758420000003</x:v>
      </x:c>
      <x:c r="O259" s="68" t="n">
        <x:f>G259-D259</x:f>
        <x:v>-87</x:v>
      </x:c>
    </x:row>
    <x:row r="260" ht="22" customHeight="1">
      <x:c r="A260" s="68" t="str">
        <x:v>UP</x:v>
      </x:c>
      <x:c r="B260" s="68" t="str">
        <x:v>2026-02-20</x:v>
      </x:c>
      <x:c r="C260" s="68" t="str">
        <x:v>천안삼거리휴게소</x:v>
      </x:c>
      <x:c r="D260" s="68" t="n">
        <x:v>108</x:v>
      </x:c>
      <x:c r="E260" s="68" t="n">
        <x:v>66</x:v>
      </x:c>
      <x:c r="F260" s="68" t="n">
        <x:v>0</x:v>
      </x:c>
      <x:c r="G260" s="68" t="n">
        <x:v>66</x:v>
      </x:c>
      <x:c r="H260" s="68" t="n">
        <x:f>E260-D260</x:f>
        <x:v>-42</x:v>
      </x:c>
      <x:c r="I260" s="68" t="n">
        <x:f>ABS(H260)</x:f>
        <x:v>42</x:v>
      </x:c>
      <x:c r="J260" s="70" t="n">
        <x:f>IF(D260=0,"",100*I260/D260)</x:f>
        <x:v>38.888888888888886</x:v>
      </x:c>
      <x:c r="K260" s="72" t="n">
        <x:v>3405.63333</x:v>
      </x:c>
      <x:c r="L260" s="72" t="n">
        <x:v>732.936253</x:v>
      </x:c>
      <x:c r="M260" s="72" t="n">
        <x:f>L260-K260</x:f>
        <x:v>-2672.6970770000003</x:v>
      </x:c>
      <x:c r="N260" s="72" t="n">
        <x:f>ABS(M260)</x:f>
        <x:v>2672.6970770000003</x:v>
      </x:c>
      <x:c r="O260" s="68" t="n">
        <x:f>G260-D260</x:f>
        <x:v>-42</x:v>
      </x:c>
    </x:row>
    <x:row r="261" ht="22" customHeight="1">
      <x:c r="A261" s="68" t="str">
        <x:v>UP</x:v>
      </x:c>
      <x:c r="B261" s="68" t="str">
        <x:v>2026-02-20</x:v>
      </x:c>
      <x:c r="C261" s="68" t="str">
        <x:v>청주휴게소</x:v>
      </x:c>
      <x:c r="D261" s="68" t="n">
        <x:v>27</x:v>
      </x:c>
      <x:c r="E261" s="68" t="n">
        <x:v>0</x:v>
      </x:c>
      <x:c r="F261" s="68" t="n">
        <x:v>91</x:v>
      </x:c>
      <x:c r="G261" s="68" t="n">
        <x:v>91</x:v>
      </x:c>
      <x:c r="H261" s="68" t="n">
        <x:f>E261-D261</x:f>
        <x:v>-27</x:v>
      </x:c>
      <x:c r="I261" s="68" t="n">
        <x:f>ABS(H261)</x:f>
        <x:v>27</x:v>
      </x:c>
      <x:c r="J261" s="70" t="n">
        <x:f>IF(D261=0,"",100*I261/D261)</x:f>
        <x:v>100</x:v>
      </x:c>
      <x:c r="K261" s="72" t="n">
        <x:v>679.11665</x:v>
      </x:c>
      <x:c r="L261" s="72" t="n">
        <x:v>0</x:v>
      </x:c>
      <x:c r="M261" s="72" t="n">
        <x:f>L261-K261</x:f>
        <x:v>-679.11665</x:v>
      </x:c>
      <x:c r="N261" s="72" t="n">
        <x:f>ABS(M261)</x:f>
        <x:v>679.11665</x:v>
      </x:c>
      <x:c r="O261" s="68" t="n">
        <x:f>G261-D261</x:f>
        <x:v>64</x:v>
      </x:c>
    </x:row>
    <x:row r="262" ht="22" customHeight="1">
      <x:c r="A262" s="68" t="str">
        <x:v>UP</x:v>
      </x:c>
      <x:c r="B262" s="68" t="str">
        <x:v>2026-02-20</x:v>
      </x:c>
      <x:c r="C262" s="68" t="str">
        <x:v>추풍령휴게소</x:v>
      </x:c>
      <x:c r="D262" s="68" t="n">
        <x:v>15</x:v>
      </x:c>
      <x:c r="E262" s="68" t="n">
        <x:v>97</x:v>
      </x:c>
      <x:c r="F262" s="68" t="n">
        <x:v>21</x:v>
      </x:c>
      <x:c r="G262" s="68" t="n">
        <x:v>118</x:v>
      </x:c>
      <x:c r="H262" s="68" t="n">
        <x:f>E262-D262</x:f>
        <x:v>82</x:v>
      </x:c>
      <x:c r="I262" s="68" t="n">
        <x:f>ABS(H262)</x:f>
        <x:v>82</x:v>
      </x:c>
      <x:c r="J262" s="70" t="n">
        <x:f>IF(D262=0,"",100*I262/D262)</x:f>
        <x:v>546.6666666666666</x:v>
      </x:c>
      <x:c r="K262" s="72" t="n">
        <x:v>226.16667</x:v>
      </x:c>
      <x:c r="L262" s="72" t="n">
        <x:v>1198.838805</x:v>
      </x:c>
      <x:c r="M262" s="72" t="n">
        <x:f>L262-K262</x:f>
        <x:v>972.672135</x:v>
      </x:c>
      <x:c r="N262" s="72" t="n">
        <x:f>ABS(M262)</x:f>
        <x:v>972.672135</x:v>
      </x:c>
      <x:c r="O262" s="68" t="n">
        <x:f>G262-D262</x:f>
        <x:v>103</x:v>
      </x:c>
    </x:row>
    <x:row r="263" ht="22" customHeight="1">
      <x:c r="A263" s="68" t="str">
        <x:v>UP</x:v>
      </x:c>
      <x:c r="B263" s="68" t="str">
        <x:v>2026-02-20</x:v>
      </x:c>
      <x:c r="C263" s="68" t="str">
        <x:v>황간휴게소</x:v>
      </x:c>
      <x:c r="D263" s="68" t="n">
        <x:v>17</x:v>
      </x:c>
      <x:c r="E263" s="68" t="n">
        <x:v>43</x:v>
      </x:c>
      <x:c r="F263" s="68" t="n">
        <x:v>0</x:v>
      </x:c>
      <x:c r="G263" s="68" t="n">
        <x:v>43</x:v>
      </x:c>
      <x:c r="H263" s="68" t="n">
        <x:f>E263-D263</x:f>
        <x:v>26</x:v>
      </x:c>
      <x:c r="I263" s="68" t="n">
        <x:f>ABS(H263)</x:f>
        <x:v>26</x:v>
      </x:c>
      <x:c r="J263" s="70" t="n">
        <x:f>IF(D263=0,"",100*I263/D263)</x:f>
        <x:v>152.94117647058823</x:v>
      </x:c>
      <x:c r="K263" s="72" t="n">
        <x:v>358.63332</x:v>
      </x:c>
      <x:c r="L263" s="72" t="n">
        <x:v>590.244266</x:v>
      </x:c>
      <x:c r="M263" s="72" t="n">
        <x:f>L263-K263</x:f>
        <x:v>231.610946</x:v>
      </x:c>
      <x:c r="N263" s="72" t="n">
        <x:f>ABS(M263)</x:f>
        <x:v>231.610946</x:v>
      </x:c>
      <x:c r="O263" s="68" t="n">
        <x:f>G263-D263</x:f>
        <x:v>26</x:v>
      </x:c>
    </x:row>
    <x:row r="264" ht="22" customHeight="1">
      <x:c r="A264" s="68" t="str">
        <x:v>UP</x:v>
      </x:c>
      <x:c r="B264" s="68" t="str">
        <x:v>2026-02-21</x:v>
      </x:c>
      <x:c r="C264" s="68" t="str">
        <x:v>건천휴게소</x:v>
      </x:c>
      <x:c r="D264" s="68" t="n">
        <x:v>48</x:v>
      </x:c>
      <x:c r="E264" s="68" t="n">
        <x:v>30</x:v>
      </x:c>
      <x:c r="F264" s="68" t="n">
        <x:v>0</x:v>
      </x:c>
      <x:c r="G264" s="68" t="n">
        <x:v>30</x:v>
      </x:c>
      <x:c r="H264" s="68" t="n">
        <x:f>E264-D264</x:f>
        <x:v>-18</x:v>
      </x:c>
      <x:c r="I264" s="68" t="n">
        <x:f>ABS(H264)</x:f>
        <x:v>18</x:v>
      </x:c>
      <x:c r="J264" s="70" t="n">
        <x:f>IF(D264=0,"",100*I264/D264)</x:f>
        <x:v>37.5</x:v>
      </x:c>
      <x:c r="K264" s="72" t="n">
        <x:v>1517.8</x:v>
      </x:c>
      <x:c r="L264" s="72" t="n">
        <x:v>825.246702</x:v>
      </x:c>
      <x:c r="M264" s="72" t="n">
        <x:f>L264-K264</x:f>
        <x:v>-692.5532979999999</x:v>
      </x:c>
      <x:c r="N264" s="72" t="n">
        <x:f>ABS(M264)</x:f>
        <x:v>692.5532979999999</x:v>
      </x:c>
      <x:c r="O264" s="68" t="n">
        <x:f>G264-D264</x:f>
        <x:v>-18</x:v>
      </x:c>
    </x:row>
    <x:row r="265" ht="22" customHeight="1">
      <x:c r="A265" s="68" t="str">
        <x:v>UP</x:v>
      </x:c>
      <x:c r="B265" s="68" t="str">
        <x:v>2026-02-21</x:v>
      </x:c>
      <x:c r="C265" s="68" t="str">
        <x:v>경산휴게소</x:v>
      </x:c>
      <x:c r="D265" s="68" t="n">
        <x:v>40</x:v>
      </x:c>
      <x:c r="E265" s="68" t="n">
        <x:v>34</x:v>
      </x:c>
      <x:c r="F265" s="68" t="n">
        <x:v>0</x:v>
      </x:c>
      <x:c r="G265" s="68" t="n">
        <x:v>34</x:v>
      </x:c>
      <x:c r="H265" s="68" t="n">
        <x:f>E265-D265</x:f>
        <x:v>-6</x:v>
      </x:c>
      <x:c r="I265" s="68" t="n">
        <x:f>ABS(H265)</x:f>
        <x:v>6</x:v>
      </x:c>
      <x:c r="J265" s="70" t="n">
        <x:f>IF(D265=0,"",100*I265/D265)</x:f>
        <x:v>15</x:v>
      </x:c>
      <x:c r="K265" s="72" t="n">
        <x:v>1061.71667</x:v>
      </x:c>
      <x:c r="L265" s="72" t="n">
        <x:v>790.311021</x:v>
      </x:c>
      <x:c r="M265" s="72" t="n">
        <x:f>L265-K265</x:f>
        <x:v>-271.40564900000004</x:v>
      </x:c>
      <x:c r="N265" s="72" t="n">
        <x:f>ABS(M265)</x:f>
        <x:v>271.40564900000004</x:v>
      </x:c>
      <x:c r="O265" s="68" t="n">
        <x:f>G265-D265</x:f>
        <x:v>-6</x:v>
      </x:c>
    </x:row>
    <x:row r="266" ht="22" customHeight="1">
      <x:c r="A266" s="68" t="str">
        <x:v>UP</x:v>
      </x:c>
      <x:c r="B266" s="68" t="str">
        <x:v>2026-02-21</x:v>
      </x:c>
      <x:c r="C266" s="68" t="str">
        <x:v>김천휴게소</x:v>
      </x:c>
      <x:c r="D266" s="68" t="n">
        <x:v>5</x:v>
      </x:c>
      <x:c r="E266" s="68" t="n">
        <x:v>0</x:v>
      </x:c>
      <x:c r="F266" s="68" t="n">
        <x:v>52</x:v>
      </x:c>
      <x:c r="G266" s="68" t="n">
        <x:v>52</x:v>
      </x:c>
      <x:c r="H266" s="68" t="n">
        <x:f>E266-D266</x:f>
        <x:v>-5</x:v>
      </x:c>
      <x:c r="I266" s="68" t="n">
        <x:f>ABS(H266)</x:f>
        <x:v>5</x:v>
      </x:c>
      <x:c r="J266" s="70" t="n">
        <x:f>IF(D266=0,"",100*I266/D266)</x:f>
        <x:v>100</x:v>
      </x:c>
      <x:c r="K266" s="72" t="n">
        <x:v>112.96666</x:v>
      </x:c>
      <x:c r="L266" s="72" t="n">
        <x:v>0</x:v>
      </x:c>
      <x:c r="M266" s="72" t="n">
        <x:f>L266-K266</x:f>
        <x:v>-112.96666</x:v>
      </x:c>
      <x:c r="N266" s="72" t="n">
        <x:f>ABS(M266)</x:f>
        <x:v>112.96666</x:v>
      </x:c>
      <x:c r="O266" s="68" t="n">
        <x:f>G266-D266</x:f>
        <x:v>47</x:v>
      </x:c>
    </x:row>
    <x:row r="267" ht="22" customHeight="1">
      <x:c r="A267" s="68" t="str">
        <x:v>UP</x:v>
      </x:c>
      <x:c r="B267" s="68" t="str">
        <x:v>2026-02-21</x:v>
      </x:c>
      <x:c r="C267" s="68" t="str">
        <x:v>신탄진휴게소</x:v>
      </x:c>
      <x:c r="D267" s="68" t="n">
        <x:v>70</x:v>
      </x:c>
      <x:c r="E267" s="68" t="n">
        <x:v>97</x:v>
      </x:c>
      <x:c r="F267" s="68" t="n">
        <x:v>10</x:v>
      </x:c>
      <x:c r="G267" s="68" t="n">
        <x:v>107</x:v>
      </x:c>
      <x:c r="H267" s="68" t="n">
        <x:f>E267-D267</x:f>
        <x:v>27</x:v>
      </x:c>
      <x:c r="I267" s="68" t="n">
        <x:f>ABS(H267)</x:f>
        <x:v>27</x:v>
      </x:c>
      <x:c r="J267" s="70" t="n">
        <x:f>IF(D267=0,"",100*I267/D267)</x:f>
        <x:v>38.57142857142857</x:v>
      </x:c>
      <x:c r="K267" s="72" t="n">
        <x:v>1851.11668</x:v>
      </x:c>
      <x:c r="L267" s="72" t="n">
        <x:v>708.626422</x:v>
      </x:c>
      <x:c r="M267" s="72" t="n">
        <x:f>L267-K267</x:f>
        <x:v>-1142.490258</x:v>
      </x:c>
      <x:c r="N267" s="72" t="n">
        <x:f>ABS(M267)</x:f>
        <x:v>1142.490258</x:v>
      </x:c>
      <x:c r="O267" s="68" t="n">
        <x:f>G267-D267</x:f>
        <x:v>37</x:v>
      </x:c>
    </x:row>
    <x:row r="268" ht="22" customHeight="1">
      <x:c r="A268" s="68" t="str">
        <x:v>UP</x:v>
      </x:c>
      <x:c r="B268" s="68" t="str">
        <x:v>2026-02-21</x:v>
      </x:c>
      <x:c r="C268" s="68" t="str">
        <x:v>안성휴게소</x:v>
      </x:c>
      <x:c r="D268" s="68" t="n">
        <x:v>55</x:v>
      </x:c>
      <x:c r="E268" s="68" t="n">
        <x:v>0</x:v>
      </x:c>
      <x:c r="F268" s="68" t="n">
        <x:v>207</x:v>
      </x:c>
      <x:c r="G268" s="68" t="n">
        <x:v>207</x:v>
      </x:c>
      <x:c r="H268" s="68" t="n">
        <x:f>E268-D268</x:f>
        <x:v>-55</x:v>
      </x:c>
      <x:c r="I268" s="68" t="n">
        <x:f>ABS(H268)</x:f>
        <x:v>55</x:v>
      </x:c>
      <x:c r="J268" s="70" t="n">
        <x:f>IF(D268=0,"",100*I268/D268)</x:f>
        <x:v>100</x:v>
      </x:c>
      <x:c r="K268" s="72" t="n">
        <x:v>1335.98334</x:v>
      </x:c>
      <x:c r="L268" s="72" t="n">
        <x:v>0</x:v>
      </x:c>
      <x:c r="M268" s="72" t="n">
        <x:f>L268-K268</x:f>
        <x:v>-1335.98334</x:v>
      </x:c>
      <x:c r="N268" s="72" t="n">
        <x:f>ABS(M268)</x:f>
        <x:v>1335.98334</x:v>
      </x:c>
      <x:c r="O268" s="68" t="n">
        <x:f>G268-D268</x:f>
        <x:v>152</x:v>
      </x:c>
    </x:row>
    <x:row r="269" ht="22" customHeight="1">
      <x:c r="A269" s="68" t="str">
        <x:v>UP</x:v>
      </x:c>
      <x:c r="B269" s="68" t="str">
        <x:v>2026-02-21</x:v>
      </x:c>
      <x:c r="C269" s="68" t="str">
        <x:v>양산휴게소</x:v>
      </x:c>
      <x:c r="D269" s="68" t="n">
        <x:v>10</x:v>
      </x:c>
      <x:c r="E269" s="68" t="n">
        <x:v>0</x:v>
      </x:c>
      <x:c r="F269" s="68" t="n">
        <x:v>17</x:v>
      </x:c>
      <x:c r="G269" s="68" t="n">
        <x:v>17</x:v>
      </x:c>
      <x:c r="H269" s="68" t="n">
        <x:f>E269-D269</x:f>
        <x:v>-10</x:v>
      </x:c>
      <x:c r="I269" s="68" t="n">
        <x:f>ABS(H269)</x:f>
        <x:v>10</x:v>
      </x:c>
      <x:c r="J269" s="70" t="n">
        <x:f>IF(D269=0,"",100*I269/D269)</x:f>
        <x:v>100</x:v>
      </x:c>
      <x:c r="K269" s="72" t="n">
        <x:v>290.83333</x:v>
      </x:c>
      <x:c r="L269" s="72" t="n">
        <x:v>0</x:v>
      </x:c>
      <x:c r="M269" s="72" t="n">
        <x:f>L269-K269</x:f>
        <x:v>-290.83333</x:v>
      </x:c>
      <x:c r="N269" s="72" t="n">
        <x:f>ABS(M269)</x:f>
        <x:v>290.83333</x:v>
      </x:c>
      <x:c r="O269" s="68" t="n">
        <x:f>G269-D269</x:f>
        <x:v>7</x:v>
      </x:c>
    </x:row>
    <x:row r="270" ht="22" customHeight="1">
      <x:c r="A270" s="68" t="str">
        <x:v>UP</x:v>
      </x:c>
      <x:c r="B270" s="68" t="str">
        <x:v>2026-02-21</x:v>
      </x:c>
      <x:c r="C270" s="68" t="str">
        <x:v>언양휴게소</x:v>
      </x:c>
      <x:c r="D270" s="68" t="n">
        <x:v>4</x:v>
      </x:c>
      <x:c r="E270" s="68" t="n">
        <x:v>4</x:v>
      </x:c>
      <x:c r="F270" s="68" t="n">
        <x:v>300</x:v>
      </x:c>
      <x:c r="G270" s="68" t="n">
        <x:v>304</x:v>
      </x:c>
      <x:c r="H270" s="68" t="n">
        <x:f>E270-D270</x:f>
        <x:v>0</x:v>
      </x:c>
      <x:c r="I270" s="68" t="n">
        <x:f>ABS(H270)</x:f>
        <x:v>0</x:v>
      </x:c>
      <x:c r="J270" s="70" t="n">
        <x:f>IF(D270=0,"",100*I270/D270)</x:f>
        <x:v>0</x:v>
      </x:c>
      <x:c r="K270" s="72" t="n">
        <x:v>63.16667</x:v>
      </x:c>
      <x:c r="L270" s="72" t="n">
        <x:v>62.696547</x:v>
      </x:c>
      <x:c r="M270" s="72" t="n">
        <x:f>L270-K270</x:f>
        <x:v>-0.47012300000000096</x:v>
      </x:c>
      <x:c r="N270" s="72" t="n">
        <x:f>ABS(M270)</x:f>
        <x:v>0.47012300000000096</x:v>
      </x:c>
      <x:c r="O270" s="68" t="n">
        <x:f>G270-D270</x:f>
        <x:v>300</x:v>
      </x:c>
    </x:row>
    <x:row r="271" ht="22" customHeight="1">
      <x:c r="A271" s="68" t="str">
        <x:v>UP</x:v>
      </x:c>
      <x:c r="B271" s="68" t="str">
        <x:v>2026-02-21</x:v>
      </x:c>
      <x:c r="C271" s="68" t="str">
        <x:v>입장거봉포도휴게소</x:v>
      </x:c>
      <x:c r="D271" s="68" t="n">
        <x:v>48</x:v>
      </x:c>
      <x:c r="E271" s="68" t="n">
        <x:v>47</x:v>
      </x:c>
      <x:c r="F271" s="68" t="n">
        <x:v>0</x:v>
      </x:c>
      <x:c r="G271" s="68" t="n">
        <x:v>47</x:v>
      </x:c>
      <x:c r="H271" s="68" t="n">
        <x:f>E271-D271</x:f>
        <x:v>-1</x:v>
      </x:c>
      <x:c r="I271" s="68" t="n">
        <x:f>ABS(H271)</x:f>
        <x:v>1</x:v>
      </x:c>
      <x:c r="J271" s="70" t="n">
        <x:f>IF(D271=0,"",100*I271/D271)</x:f>
        <x:v>2.0833333333333335</x:v>
      </x:c>
      <x:c r="K271" s="72" t="n">
        <x:v>1117.93335</x:v>
      </x:c>
      <x:c r="L271" s="72" t="n">
        <x:v>237.579818</x:v>
      </x:c>
      <x:c r="M271" s="72" t="n">
        <x:f>L271-K271</x:f>
        <x:v>-880.3535320000001</x:v>
      </x:c>
      <x:c r="N271" s="72" t="n">
        <x:f>ABS(M271)</x:f>
        <x:v>880.3535320000001</x:v>
      </x:c>
      <x:c r="O271" s="68" t="n">
        <x:f>G271-D271</x:f>
        <x:v>-1</x:v>
      </x:c>
    </x:row>
    <x:row r="272" ht="22" customHeight="1">
      <x:c r="A272" s="68" t="str">
        <x:v>UP</x:v>
      </x:c>
      <x:c r="B272" s="68" t="str">
        <x:v>2026-02-21</x:v>
      </x:c>
      <x:c r="C272" s="68" t="str">
        <x:v>죽암휴게소</x:v>
      </x:c>
      <x:c r="D272" s="68" t="n">
        <x:v>58</x:v>
      </x:c>
      <x:c r="E272" s="68" t="n">
        <x:v>0</x:v>
      </x:c>
      <x:c r="F272" s="68" t="n">
        <x:v>0</x:v>
      </x:c>
      <x:c r="G272" s="68" t="n">
        <x:v>0</x:v>
      </x:c>
      <x:c r="H272" s="68" t="n">
        <x:f>E272-D272</x:f>
        <x:v>-58</x:v>
      </x:c>
      <x:c r="I272" s="68" t="n">
        <x:f>ABS(H272)</x:f>
        <x:v>58</x:v>
      </x:c>
      <x:c r="J272" s="70" t="n">
        <x:f>IF(D272=0,"",100*I272/D272)</x:f>
        <x:v>100</x:v>
      </x:c>
      <x:c r="K272" s="72" t="n">
        <x:v>1661.01668</x:v>
      </x:c>
      <x:c r="L272" s="72" t="n">
        <x:v>0</x:v>
      </x:c>
      <x:c r="M272" s="72" t="n">
        <x:f>L272-K272</x:f>
        <x:v>-1661.01668</x:v>
      </x:c>
      <x:c r="N272" s="72" t="n">
        <x:f>ABS(M272)</x:f>
        <x:v>1661.01668</x:v>
      </x:c>
      <x:c r="O272" s="68" t="n">
        <x:f>G272-D272</x:f>
        <x:v>-58</x:v>
      </x:c>
    </x:row>
    <x:row r="273" ht="22" customHeight="1">
      <x:c r="A273" s="68" t="str">
        <x:v>UP</x:v>
      </x:c>
      <x:c r="B273" s="68" t="str">
        <x:v>2026-02-21</x:v>
      </x:c>
      <x:c r="C273" s="68" t="str">
        <x:v>죽전휴게소</x:v>
      </x:c>
      <x:c r="D273" s="68" t="n">
        <x:v>72</x:v>
      </x:c>
      <x:c r="E273" s="68" t="n">
        <x:v>4</x:v>
      </x:c>
      <x:c r="F273" s="68" t="n">
        <x:v>0</x:v>
      </x:c>
      <x:c r="G273" s="68" t="n">
        <x:v>4</x:v>
      </x:c>
      <x:c r="H273" s="68" t="n">
        <x:f>E273-D273</x:f>
        <x:v>-68</x:v>
      </x:c>
      <x:c r="I273" s="68" t="n">
        <x:f>ABS(H273)</x:f>
        <x:v>68</x:v>
      </x:c>
      <x:c r="J273" s="70" t="n">
        <x:f>IF(D273=0,"",100*I273/D273)</x:f>
        <x:v>94.44444444444444</x:v>
      </x:c>
      <x:c r="K273" s="72" t="n">
        <x:v>1662.91666</x:v>
      </x:c>
      <x:c r="L273" s="72" t="n">
        <x:v>4.832317</x:v>
      </x:c>
      <x:c r="M273" s="72" t="n">
        <x:f>L273-K273</x:f>
        <x:v>-1658.084343</x:v>
      </x:c>
      <x:c r="N273" s="72" t="n">
        <x:f>ABS(M273)</x:f>
        <x:v>1658.084343</x:v>
      </x:c>
      <x:c r="O273" s="68" t="n">
        <x:f>G273-D273</x:f>
        <x:v>-68</x:v>
      </x:c>
    </x:row>
    <x:row r="274" ht="22" customHeight="1">
      <x:c r="A274" s="68" t="str">
        <x:v>UP</x:v>
      </x:c>
      <x:c r="B274" s="68" t="str">
        <x:v>2026-02-21</x:v>
      </x:c>
      <x:c r="C274" s="68" t="str">
        <x:v>천안삼거리휴게소</x:v>
      </x:c>
      <x:c r="D274" s="68" t="n">
        <x:v>91</x:v>
      </x:c>
      <x:c r="E274" s="68" t="n">
        <x:v>59</x:v>
      </x:c>
      <x:c r="F274" s="68" t="n">
        <x:v>0</x:v>
      </x:c>
      <x:c r="G274" s="68" t="n">
        <x:v>59</x:v>
      </x:c>
      <x:c r="H274" s="68" t="n">
        <x:f>E274-D274</x:f>
        <x:v>-32</x:v>
      </x:c>
      <x:c r="I274" s="68" t="n">
        <x:f>ABS(H274)</x:f>
        <x:v>32</x:v>
      </x:c>
      <x:c r="J274" s="70" t="n">
        <x:f>IF(D274=0,"",100*I274/D274)</x:f>
        <x:v>35.16483516483517</x:v>
      </x:c>
      <x:c r="K274" s="72" t="n">
        <x:v>2310.91666</x:v>
      </x:c>
      <x:c r="L274" s="72" t="n">
        <x:v>742.05905</x:v>
      </x:c>
      <x:c r="M274" s="72" t="n">
        <x:f>L274-K274</x:f>
        <x:v>-1568.85761</x:v>
      </x:c>
      <x:c r="N274" s="72" t="n">
        <x:f>ABS(M274)</x:f>
        <x:v>1568.85761</x:v>
      </x:c>
      <x:c r="O274" s="68" t="n">
        <x:f>G274-D274</x:f>
        <x:v>-32</x:v>
      </x:c>
    </x:row>
    <x:row r="275" ht="22" customHeight="1">
      <x:c r="A275" s="68" t="str">
        <x:v>UP</x:v>
      </x:c>
      <x:c r="B275" s="68" t="str">
        <x:v>2026-02-21</x:v>
      </x:c>
      <x:c r="C275" s="68" t="str">
        <x:v>청주휴게소</x:v>
      </x:c>
      <x:c r="D275" s="68" t="n">
        <x:v>21</x:v>
      </x:c>
      <x:c r="E275" s="68" t="n">
        <x:v>0</x:v>
      </x:c>
      <x:c r="F275" s="68" t="n">
        <x:v>66</x:v>
      </x:c>
      <x:c r="G275" s="68" t="n">
        <x:v>66</x:v>
      </x:c>
      <x:c r="H275" s="68" t="n">
        <x:f>E275-D275</x:f>
        <x:v>-21</x:v>
      </x:c>
      <x:c r="I275" s="68" t="n">
        <x:f>ABS(H275)</x:f>
        <x:v>21</x:v>
      </x:c>
      <x:c r="J275" s="70" t="n">
        <x:f>IF(D275=0,"",100*I275/D275)</x:f>
        <x:v>100</x:v>
      </x:c>
      <x:c r="K275" s="72" t="n">
        <x:v>519.64999</x:v>
      </x:c>
      <x:c r="L275" s="72" t="n">
        <x:v>0</x:v>
      </x:c>
      <x:c r="M275" s="72" t="n">
        <x:f>L275-K275</x:f>
        <x:v>-519.64999</x:v>
      </x:c>
      <x:c r="N275" s="72" t="n">
        <x:f>ABS(M275)</x:f>
        <x:v>519.64999</x:v>
      </x:c>
      <x:c r="O275" s="68" t="n">
        <x:f>G275-D275</x:f>
        <x:v>45</x:v>
      </x:c>
    </x:row>
    <x:row r="276" ht="22" customHeight="1">
      <x:c r="A276" s="68" t="str">
        <x:v>UP</x:v>
      </x:c>
      <x:c r="B276" s="68" t="str">
        <x:v>2026-02-21</x:v>
      </x:c>
      <x:c r="C276" s="68" t="str">
        <x:v>추풍령휴게소</x:v>
      </x:c>
      <x:c r="D276" s="68" t="n">
        <x:v>26</x:v>
      </x:c>
      <x:c r="E276" s="68" t="n">
        <x:v>85</x:v>
      </x:c>
      <x:c r="F276" s="68" t="n">
        <x:v>16</x:v>
      </x:c>
      <x:c r="G276" s="68" t="n">
        <x:v>101</x:v>
      </x:c>
      <x:c r="H276" s="68" t="n">
        <x:f>E276-D276</x:f>
        <x:v>59</x:v>
      </x:c>
      <x:c r="I276" s="68" t="n">
        <x:f>ABS(H276)</x:f>
        <x:v>59</x:v>
      </x:c>
      <x:c r="J276" s="70" t="n">
        <x:f>IF(D276=0,"",100*I276/D276)</x:f>
        <x:v>226.92307692307693</x:v>
      </x:c>
      <x:c r="K276" s="72" t="n">
        <x:v>509.49999</x:v>
      </x:c>
      <x:c r="L276" s="72" t="n">
        <x:v>969.871897</x:v>
      </x:c>
      <x:c r="M276" s="72" t="n">
        <x:f>L276-K276</x:f>
        <x:v>460.37190699999996</x:v>
      </x:c>
      <x:c r="N276" s="72" t="n">
        <x:f>ABS(M276)</x:f>
        <x:v>460.37190699999996</x:v>
      </x:c>
      <x:c r="O276" s="68" t="n">
        <x:f>G276-D276</x:f>
        <x:v>75</x:v>
      </x:c>
    </x:row>
    <x:row r="277" ht="22" customHeight="1">
      <x:c r="A277" s="68" t="str">
        <x:v>UP</x:v>
      </x:c>
      <x:c r="B277" s="68" t="str">
        <x:v>2026-02-21</x:v>
      </x:c>
      <x:c r="C277" s="68" t="str">
        <x:v>황간휴게소</x:v>
      </x:c>
      <x:c r="D277" s="68" t="n">
        <x:v>27</x:v>
      </x:c>
      <x:c r="E277" s="68" t="n">
        <x:v>27</x:v>
      </x:c>
      <x:c r="F277" s="68" t="n">
        <x:v>0</x:v>
      </x:c>
      <x:c r="G277" s="68" t="n">
        <x:v>27</x:v>
      </x:c>
      <x:c r="H277" s="68" t="n">
        <x:f>E277-D277</x:f>
        <x:v>0</x:v>
      </x:c>
      <x:c r="I277" s="68" t="n">
        <x:f>ABS(H277)</x:f>
        <x:v>0</x:v>
      </x:c>
      <x:c r="J277" s="70" t="n">
        <x:f>IF(D277=0,"",100*I277/D277)</x:f>
        <x:v>0</x:v>
      </x:c>
      <x:c r="K277" s="72" t="n">
        <x:v>611.46665</x:v>
      </x:c>
      <x:c r="L277" s="72" t="n">
        <x:v>502.556294</x:v>
      </x:c>
      <x:c r="M277" s="72" t="n">
        <x:f>L277-K277</x:f>
        <x:v>-108.91035599999998</x:v>
      </x:c>
      <x:c r="N277" s="72" t="n">
        <x:f>ABS(M277)</x:f>
        <x:v>108.91035599999998</x:v>
      </x:c>
      <x:c r="O277" s="68" t="n">
        <x:f>G277-D277</x:f>
        <x:v>0</x:v>
      </x:c>
    </x:row>
    <x:row r="278" ht="22" customHeight="1">
      <x:c r="A278" s="68" t="str">
        <x:v>UP</x:v>
      </x:c>
      <x:c r="B278" s="68" t="str">
        <x:v>2026-02-22</x:v>
      </x:c>
      <x:c r="C278" s="68" t="str">
        <x:v>건천휴게소</x:v>
      </x:c>
      <x:c r="D278" s="68" t="n">
        <x:v>44</x:v>
      </x:c>
      <x:c r="E278" s="68" t="n">
        <x:v>27</x:v>
      </x:c>
      <x:c r="F278" s="68" t="n">
        <x:v>0</x:v>
      </x:c>
      <x:c r="G278" s="68" t="n">
        <x:v>27</x:v>
      </x:c>
      <x:c r="H278" s="68" t="n">
        <x:f>E278-D278</x:f>
        <x:v>-17</x:v>
      </x:c>
      <x:c r="I278" s="68" t="n">
        <x:f>ABS(H278)</x:f>
        <x:v>17</x:v>
      </x:c>
      <x:c r="J278" s="70" t="n">
        <x:f>IF(D278=0,"",100*I278/D278)</x:f>
        <x:v>38.63636363636363</x:v>
      </x:c>
      <x:c r="K278" s="72" t="n">
        <x:v>1164.28331</x:v>
      </x:c>
      <x:c r="L278" s="72" t="n">
        <x:v>636.115629</x:v>
      </x:c>
      <x:c r="M278" s="72" t="n">
        <x:f>L278-K278</x:f>
        <x:v>-528.167681</x:v>
      </x:c>
      <x:c r="N278" s="72" t="n">
        <x:f>ABS(M278)</x:f>
        <x:v>528.167681</x:v>
      </x:c>
      <x:c r="O278" s="68" t="n">
        <x:f>G278-D278</x:f>
        <x:v>-17</x:v>
      </x:c>
    </x:row>
    <x:row r="279" ht="22" customHeight="1">
      <x:c r="A279" s="68" t="str">
        <x:v>UP</x:v>
      </x:c>
      <x:c r="B279" s="68" t="str">
        <x:v>2026-02-22</x:v>
      </x:c>
      <x:c r="C279" s="68" t="str">
        <x:v>경산휴게소</x:v>
      </x:c>
      <x:c r="D279" s="68" t="n">
        <x:v>31</x:v>
      </x:c>
      <x:c r="E279" s="68" t="n">
        <x:v>29</x:v>
      </x:c>
      <x:c r="F279" s="68" t="n">
        <x:v>0</x:v>
      </x:c>
      <x:c r="G279" s="68" t="n">
        <x:v>29</x:v>
      </x:c>
      <x:c r="H279" s="68" t="n">
        <x:f>E279-D279</x:f>
        <x:v>-2</x:v>
      </x:c>
      <x:c r="I279" s="68" t="n">
        <x:f>ABS(H279)</x:f>
        <x:v>2</x:v>
      </x:c>
      <x:c r="J279" s="70" t="n">
        <x:f>IF(D279=0,"",100*I279/D279)</x:f>
        <x:v>6.451612903225806</x:v>
      </x:c>
      <x:c r="K279" s="72" t="n">
        <x:v>710.91667</x:v>
      </x:c>
      <x:c r="L279" s="72" t="n">
        <x:v>555.926476</x:v>
      </x:c>
      <x:c r="M279" s="72" t="n">
        <x:f>L279-K279</x:f>
        <x:v>-154.99019399999997</x:v>
      </x:c>
      <x:c r="N279" s="72" t="n">
        <x:f>ABS(M279)</x:f>
        <x:v>154.99019399999997</x:v>
      </x:c>
      <x:c r="O279" s="68" t="n">
        <x:f>G279-D279</x:f>
        <x:v>-2</x:v>
      </x:c>
    </x:row>
    <x:row r="280" ht="22" customHeight="1">
      <x:c r="A280" s="68" t="str">
        <x:v>UP</x:v>
      </x:c>
      <x:c r="B280" s="68" t="str">
        <x:v>2026-02-22</x:v>
      </x:c>
      <x:c r="C280" s="68" t="str">
        <x:v>김천휴게소</x:v>
      </x:c>
      <x:c r="D280" s="68" t="n">
        <x:v>7</x:v>
      </x:c>
      <x:c r="E280" s="68" t="n">
        <x:v>0</x:v>
      </x:c>
      <x:c r="F280" s="68" t="n">
        <x:v>47</x:v>
      </x:c>
      <x:c r="G280" s="68" t="n">
        <x:v>47</x:v>
      </x:c>
      <x:c r="H280" s="68" t="n">
        <x:f>E280-D280</x:f>
        <x:v>-7</x:v>
      </x:c>
      <x:c r="I280" s="68" t="n">
        <x:f>ABS(H280)</x:f>
        <x:v>7</x:v>
      </x:c>
      <x:c r="J280" s="70" t="n">
        <x:f>IF(D280=0,"",100*I280/D280)</x:f>
        <x:v>100</x:v>
      </x:c>
      <x:c r="K280" s="72" t="n">
        <x:v>186.25001</x:v>
      </x:c>
      <x:c r="L280" s="72" t="n">
        <x:v>0</x:v>
      </x:c>
      <x:c r="M280" s="72" t="n">
        <x:f>L280-K280</x:f>
        <x:v>-186.25001</x:v>
      </x:c>
      <x:c r="N280" s="72" t="n">
        <x:f>ABS(M280)</x:f>
        <x:v>186.25001</x:v>
      </x:c>
      <x:c r="O280" s="68" t="n">
        <x:f>G280-D280</x:f>
        <x:v>40</x:v>
      </x:c>
    </x:row>
    <x:row r="281" ht="22" customHeight="1">
      <x:c r="A281" s="68" t="str">
        <x:v>UP</x:v>
      </x:c>
      <x:c r="B281" s="68" t="str">
        <x:v>2026-02-22</x:v>
      </x:c>
      <x:c r="C281" s="68" t="str">
        <x:v>신탄진휴게소</x:v>
      </x:c>
      <x:c r="D281" s="68" t="n">
        <x:v>80</x:v>
      </x:c>
      <x:c r="E281" s="68" t="n">
        <x:v>87</x:v>
      </x:c>
      <x:c r="F281" s="68" t="n">
        <x:v>13</x:v>
      </x:c>
      <x:c r="G281" s="68" t="n">
        <x:v>100</x:v>
      </x:c>
      <x:c r="H281" s="68" t="n">
        <x:f>E281-D281</x:f>
        <x:v>7</x:v>
      </x:c>
      <x:c r="I281" s="68" t="n">
        <x:f>ABS(H281)</x:f>
        <x:v>7</x:v>
      </x:c>
      <x:c r="J281" s="70" t="n">
        <x:f>IF(D281=0,"",100*I281/D281)</x:f>
        <x:v>8.75</x:v>
      </x:c>
      <x:c r="K281" s="72" t="n">
        <x:v>2080.99999</x:v>
      </x:c>
      <x:c r="L281" s="72" t="n">
        <x:v>613.316381</x:v>
      </x:c>
      <x:c r="M281" s="72" t="n">
        <x:f>L281-K281</x:f>
        <x:v>-1467.6836089999997</x:v>
      </x:c>
      <x:c r="N281" s="72" t="n">
        <x:f>ABS(M281)</x:f>
        <x:v>1467.6836089999997</x:v>
      </x:c>
      <x:c r="O281" s="68" t="n">
        <x:f>G281-D281</x:f>
        <x:v>20</x:v>
      </x:c>
    </x:row>
    <x:row r="282" ht="22" customHeight="1">
      <x:c r="A282" s="68" t="str">
        <x:v>UP</x:v>
      </x:c>
      <x:c r="B282" s="68" t="str">
        <x:v>2026-02-22</x:v>
      </x:c>
      <x:c r="C282" s="68" t="str">
        <x:v>안성휴게소</x:v>
      </x:c>
      <x:c r="D282" s="68" t="n">
        <x:v>50</x:v>
      </x:c>
      <x:c r="E282" s="68" t="n">
        <x:v>1</x:v>
      </x:c>
      <x:c r="F282" s="68" t="n">
        <x:v>226</x:v>
      </x:c>
      <x:c r="G282" s="68" t="n">
        <x:v>227</x:v>
      </x:c>
      <x:c r="H282" s="68" t="n">
        <x:f>E282-D282</x:f>
        <x:v>-49</x:v>
      </x:c>
      <x:c r="I282" s="68" t="n">
        <x:f>ABS(H282)</x:f>
        <x:v>49</x:v>
      </x:c>
      <x:c r="J282" s="70" t="n">
        <x:f>IF(D282=0,"",100*I282/D282)</x:f>
        <x:v>98</x:v>
      </x:c>
      <x:c r="K282" s="72" t="n">
        <x:v>1173.43333</x:v>
      </x:c>
      <x:c r="L282" s="72" t="n">
        <x:v>2.036583</x:v>
      </x:c>
      <x:c r="M282" s="72" t="n">
        <x:f>L282-K282</x:f>
        <x:v>-1171.396747</x:v>
      </x:c>
      <x:c r="N282" s="72" t="n">
        <x:f>ABS(M282)</x:f>
        <x:v>1171.396747</x:v>
      </x:c>
      <x:c r="O282" s="68" t="n">
        <x:f>G282-D282</x:f>
        <x:v>177</x:v>
      </x:c>
    </x:row>
    <x:row r="283" ht="22" customHeight="1">
      <x:c r="A283" s="68" t="str">
        <x:v>UP</x:v>
      </x:c>
      <x:c r="B283" s="68" t="str">
        <x:v>2026-02-22</x:v>
      </x:c>
      <x:c r="C283" s="68" t="str">
        <x:v>양산휴게소</x:v>
      </x:c>
      <x:c r="D283" s="68" t="n">
        <x:v>8</x:v>
      </x:c>
      <x:c r="E283" s="68" t="n">
        <x:v>0</x:v>
      </x:c>
      <x:c r="F283" s="68" t="n">
        <x:v>17</x:v>
      </x:c>
      <x:c r="G283" s="68" t="n">
        <x:v>17</x:v>
      </x:c>
      <x:c r="H283" s="68" t="n">
        <x:f>E283-D283</x:f>
        <x:v>-8</x:v>
      </x:c>
      <x:c r="I283" s="68" t="n">
        <x:f>ABS(H283)</x:f>
        <x:v>8</x:v>
      </x:c>
      <x:c r="J283" s="70" t="n">
        <x:f>IF(D283=0,"",100*I283/D283)</x:f>
        <x:v>100</x:v>
      </x:c>
      <x:c r="K283" s="72" t="n">
        <x:v>170.55</x:v>
      </x:c>
      <x:c r="L283" s="72" t="n">
        <x:v>0</x:v>
      </x:c>
      <x:c r="M283" s="72" t="n">
        <x:f>L283-K283</x:f>
        <x:v>-170.55</x:v>
      </x:c>
      <x:c r="N283" s="72" t="n">
        <x:f>ABS(M283)</x:f>
        <x:v>170.55</x:v>
      </x:c>
      <x:c r="O283" s="68" t="n">
        <x:f>G283-D283</x:f>
        <x:v>9</x:v>
      </x:c>
    </x:row>
    <x:row r="284" ht="22" customHeight="1">
      <x:c r="A284" s="68" t="str">
        <x:v>UP</x:v>
      </x:c>
      <x:c r="B284" s="68" t="str">
        <x:v>2026-02-22</x:v>
      </x:c>
      <x:c r="C284" s="68" t="str">
        <x:v>언양휴게소</x:v>
      </x:c>
      <x:c r="D284" s="68" t="n">
        <x:v>4</x:v>
      </x:c>
      <x:c r="E284" s="68" t="n">
        <x:v>0</x:v>
      </x:c>
      <x:c r="F284" s="68" t="n">
        <x:v>240</x:v>
      </x:c>
      <x:c r="G284" s="68" t="n">
        <x:v>240</x:v>
      </x:c>
      <x:c r="H284" s="68" t="n">
        <x:f>E284-D284</x:f>
        <x:v>-4</x:v>
      </x:c>
      <x:c r="I284" s="68" t="n">
        <x:f>ABS(H284)</x:f>
        <x:v>4</x:v>
      </x:c>
      <x:c r="J284" s="70" t="n">
        <x:f>IF(D284=0,"",100*I284/D284)</x:f>
        <x:v>100</x:v>
      </x:c>
      <x:c r="K284" s="72" t="n">
        <x:v>70.2</x:v>
      </x:c>
      <x:c r="L284" s="72" t="n">
        <x:v>0</x:v>
      </x:c>
      <x:c r="M284" s="72" t="n">
        <x:f>L284-K284</x:f>
        <x:v>-70.2</x:v>
      </x:c>
      <x:c r="N284" s="72" t="n">
        <x:f>ABS(M284)</x:f>
        <x:v>70.2</x:v>
      </x:c>
      <x:c r="O284" s="68" t="n">
        <x:f>G284-D284</x:f>
        <x:v>236</x:v>
      </x:c>
    </x:row>
    <x:row r="285" ht="22" customHeight="1">
      <x:c r="A285" s="68" t="str">
        <x:v>UP</x:v>
      </x:c>
      <x:c r="B285" s="68" t="str">
        <x:v>2026-02-22</x:v>
      </x:c>
      <x:c r="C285" s="68" t="str">
        <x:v>입장거봉포도휴게소</x:v>
      </x:c>
      <x:c r="D285" s="68" t="n">
        <x:v>38</x:v>
      </x:c>
      <x:c r="E285" s="68" t="n">
        <x:v>43</x:v>
      </x:c>
      <x:c r="F285" s="68" t="n">
        <x:v>0</x:v>
      </x:c>
      <x:c r="G285" s="68" t="n">
        <x:v>43</x:v>
      </x:c>
      <x:c r="H285" s="68" t="n">
        <x:f>E285-D285</x:f>
        <x:v>5</x:v>
      </x:c>
      <x:c r="I285" s="68" t="n">
        <x:f>ABS(H285)</x:f>
        <x:v>5</x:v>
      </x:c>
      <x:c r="J285" s="70" t="n">
        <x:f>IF(D285=0,"",100*I285/D285)</x:f>
        <x:v>13.157894736842104</x:v>
      </x:c>
      <x:c r="K285" s="72" t="n">
        <x:v>825.48334</x:v>
      </x:c>
      <x:c r="L285" s="72" t="n">
        <x:v>216.946695</x:v>
      </x:c>
      <x:c r="M285" s="72" t="n">
        <x:f>L285-K285</x:f>
        <x:v>-608.536645</x:v>
      </x:c>
      <x:c r="N285" s="72" t="n">
        <x:f>ABS(M285)</x:f>
        <x:v>608.536645</x:v>
      </x:c>
      <x:c r="O285" s="68" t="n">
        <x:f>G285-D285</x:f>
        <x:v>5</x:v>
      </x:c>
    </x:row>
    <x:row r="286" ht="22" customHeight="1">
      <x:c r="A286" s="68" t="str">
        <x:v>UP</x:v>
      </x:c>
      <x:c r="B286" s="68" t="str">
        <x:v>2026-02-22</x:v>
      </x:c>
      <x:c r="C286" s="68" t="str">
        <x:v>죽암휴게소</x:v>
      </x:c>
      <x:c r="D286" s="68" t="n">
        <x:v>66</x:v>
      </x:c>
      <x:c r="E286" s="68" t="n">
        <x:v>1</x:v>
      </x:c>
      <x:c r="F286" s="68" t="n">
        <x:v>0</x:v>
      </x:c>
      <x:c r="G286" s="68" t="n">
        <x:v>1</x:v>
      </x:c>
      <x:c r="H286" s="68" t="n">
        <x:f>E286-D286</x:f>
        <x:v>-65</x:v>
      </x:c>
      <x:c r="I286" s="68" t="n">
        <x:f>ABS(H286)</x:f>
        <x:v>65</x:v>
      </x:c>
      <x:c r="J286" s="70" t="n">
        <x:f>IF(D286=0,"",100*I286/D286)</x:f>
        <x:v>98.48484848484848</x:v>
      </x:c>
      <x:c r="K286" s="72" t="n">
        <x:v>1930.15</x:v>
      </x:c>
      <x:c r="L286" s="72" t="n">
        <x:v>24.510774</x:v>
      </x:c>
      <x:c r="M286" s="72" t="n">
        <x:f>L286-K286</x:f>
        <x:v>-1905.639226</x:v>
      </x:c>
      <x:c r="N286" s="72" t="n">
        <x:f>ABS(M286)</x:f>
        <x:v>1905.639226</x:v>
      </x:c>
      <x:c r="O286" s="68" t="n">
        <x:f>G286-D286</x:f>
        <x:v>-65</x:v>
      </x:c>
    </x:row>
    <x:row r="287" ht="22" customHeight="1">
      <x:c r="A287" s="68" t="str">
        <x:v>UP</x:v>
      </x:c>
      <x:c r="B287" s="68" t="str">
        <x:v>2026-02-22</x:v>
      </x:c>
      <x:c r="C287" s="68" t="str">
        <x:v>죽전휴게소</x:v>
      </x:c>
      <x:c r="D287" s="68" t="n">
        <x:v>65</x:v>
      </x:c>
      <x:c r="E287" s="68" t="n">
        <x:v>2</x:v>
      </x:c>
      <x:c r="F287" s="68" t="n">
        <x:v>0</x:v>
      </x:c>
      <x:c r="G287" s="68" t="n">
        <x:v>2</x:v>
      </x:c>
      <x:c r="H287" s="68" t="n">
        <x:f>E287-D287</x:f>
        <x:v>-63</x:v>
      </x:c>
      <x:c r="I287" s="68" t="n">
        <x:f>ABS(H287)</x:f>
        <x:v>63</x:v>
      </x:c>
      <x:c r="J287" s="70" t="n">
        <x:f>IF(D287=0,"",100*I287/D287)</x:f>
        <x:v>96.92307692307692</x:v>
      </x:c>
      <x:c r="K287" s="72" t="n">
        <x:v>1638.73336</x:v>
      </x:c>
      <x:c r="L287" s="72" t="n">
        <x:v>4.502035</x:v>
      </x:c>
      <x:c r="M287" s="72" t="n">
        <x:f>L287-K287</x:f>
        <x:v>-1634.231325</x:v>
      </x:c>
      <x:c r="N287" s="72" t="n">
        <x:f>ABS(M287)</x:f>
        <x:v>1634.231325</x:v>
      </x:c>
      <x:c r="O287" s="68" t="n">
        <x:f>G287-D287</x:f>
        <x:v>-63</x:v>
      </x:c>
    </x:row>
    <x:row r="288" ht="22" customHeight="1">
      <x:c r="A288" s="68" t="str">
        <x:v>UP</x:v>
      </x:c>
      <x:c r="B288" s="68" t="str">
        <x:v>2026-02-22</x:v>
      </x:c>
      <x:c r="C288" s="68" t="str">
        <x:v>천안삼거리휴게소</x:v>
      </x:c>
      <x:c r="D288" s="68" t="n">
        <x:v>104</x:v>
      </x:c>
      <x:c r="E288" s="68" t="n">
        <x:v>36</x:v>
      </x:c>
      <x:c r="F288" s="68" t="n">
        <x:v>0</x:v>
      </x:c>
      <x:c r="G288" s="68" t="n">
        <x:v>36</x:v>
      </x:c>
      <x:c r="H288" s="68" t="n">
        <x:f>E288-D288</x:f>
        <x:v>-68</x:v>
      </x:c>
      <x:c r="I288" s="68" t="n">
        <x:f>ABS(H288)</x:f>
        <x:v>68</x:v>
      </x:c>
      <x:c r="J288" s="70" t="n">
        <x:f>IF(D288=0,"",100*I288/D288)</x:f>
        <x:v>65.38461538461539</x:v>
      </x:c>
      <x:c r="K288" s="72" t="n">
        <x:v>2589.91665</x:v>
      </x:c>
      <x:c r="L288" s="72" t="n">
        <x:v>410.367903</x:v>
      </x:c>
      <x:c r="M288" s="72" t="n">
        <x:f>L288-K288</x:f>
        <x:v>-2179.5487470000003</x:v>
      </x:c>
      <x:c r="N288" s="72" t="n">
        <x:f>ABS(M288)</x:f>
        <x:v>2179.5487470000003</x:v>
      </x:c>
      <x:c r="O288" s="68" t="n">
        <x:f>G288-D288</x:f>
        <x:v>-68</x:v>
      </x:c>
    </x:row>
    <x:row r="289" ht="22" customHeight="1">
      <x:c r="A289" s="68" t="str">
        <x:v>UP</x:v>
      </x:c>
      <x:c r="B289" s="68" t="str">
        <x:v>2026-02-22</x:v>
      </x:c>
      <x:c r="C289" s="68" t="str">
        <x:v>청주휴게소</x:v>
      </x:c>
      <x:c r="D289" s="68" t="n">
        <x:v>11</x:v>
      </x:c>
      <x:c r="E289" s="68" t="n">
        <x:v>0</x:v>
      </x:c>
      <x:c r="F289" s="68" t="n">
        <x:v>73</x:v>
      </x:c>
      <x:c r="G289" s="68" t="n">
        <x:v>73</x:v>
      </x:c>
      <x:c r="H289" s="68" t="n">
        <x:f>E289-D289</x:f>
        <x:v>-11</x:v>
      </x:c>
      <x:c r="I289" s="68" t="n">
        <x:f>ABS(H289)</x:f>
        <x:v>11</x:v>
      </x:c>
      <x:c r="J289" s="70" t="n">
        <x:f>IF(D289=0,"",100*I289/D289)</x:f>
        <x:v>100</x:v>
      </x:c>
      <x:c r="K289" s="72" t="n">
        <x:v>251.61667</x:v>
      </x:c>
      <x:c r="L289" s="72" t="n">
        <x:v>0</x:v>
      </x:c>
      <x:c r="M289" s="72" t="n">
        <x:f>L289-K289</x:f>
        <x:v>-251.61667</x:v>
      </x:c>
      <x:c r="N289" s="72" t="n">
        <x:f>ABS(M289)</x:f>
        <x:v>251.61667</x:v>
      </x:c>
      <x:c r="O289" s="68" t="n">
        <x:f>G289-D289</x:f>
        <x:v>62</x:v>
      </x:c>
    </x:row>
    <x:row r="290" ht="22" customHeight="1">
      <x:c r="A290" s="68" t="str">
        <x:v>UP</x:v>
      </x:c>
      <x:c r="B290" s="68" t="str">
        <x:v>2026-02-22</x:v>
      </x:c>
      <x:c r="C290" s="68" t="str">
        <x:v>추풍령휴게소</x:v>
      </x:c>
      <x:c r="D290" s="68" t="n">
        <x:v>27</x:v>
      </x:c>
      <x:c r="E290" s="68" t="n">
        <x:v>85</x:v>
      </x:c>
      <x:c r="F290" s="68" t="n">
        <x:v>29</x:v>
      </x:c>
      <x:c r="G290" s="68" t="n">
        <x:v>114</x:v>
      </x:c>
      <x:c r="H290" s="68" t="n">
        <x:f>E290-D290</x:f>
        <x:v>58</x:v>
      </x:c>
      <x:c r="I290" s="68" t="n">
        <x:f>ABS(H290)</x:f>
        <x:v>58</x:v>
      </x:c>
      <x:c r="J290" s="70" t="n">
        <x:f>IF(D290=0,"",100*I290/D290)</x:f>
        <x:v>214.8148148148148</x:v>
      </x:c>
      <x:c r="K290" s="72" t="n">
        <x:v>438.53333</x:v>
      </x:c>
      <x:c r="L290" s="72" t="n">
        <x:v>1036.016115</x:v>
      </x:c>
      <x:c r="M290" s="72" t="n">
        <x:f>L290-K290</x:f>
        <x:v>597.4827849999999</x:v>
      </x:c>
      <x:c r="N290" s="72" t="n">
        <x:f>ABS(M290)</x:f>
        <x:v>597.4827849999999</x:v>
      </x:c>
      <x:c r="O290" s="68" t="n">
        <x:f>G290-D290</x:f>
        <x:v>87</x:v>
      </x:c>
    </x:row>
    <x:row r="291" ht="22" customHeight="1">
      <x:c r="A291" s="68" t="str">
        <x:v>UP</x:v>
      </x:c>
      <x:c r="B291" s="68" t="str">
        <x:v>2026-02-22</x:v>
      </x:c>
      <x:c r="C291" s="68" t="str">
        <x:v>황간휴게소</x:v>
      </x:c>
      <x:c r="D291" s="68" t="n">
        <x:v>25</x:v>
      </x:c>
      <x:c r="E291" s="68" t="n">
        <x:v>28</x:v>
      </x:c>
      <x:c r="F291" s="68" t="n">
        <x:v>0</x:v>
      </x:c>
      <x:c r="G291" s="68" t="n">
        <x:v>28</x:v>
      </x:c>
      <x:c r="H291" s="68" t="n">
        <x:f>E291-D291</x:f>
        <x:v>3</x:v>
      </x:c>
      <x:c r="I291" s="68" t="n">
        <x:f>ABS(H291)</x:f>
        <x:v>3</x:v>
      </x:c>
      <x:c r="J291" s="70" t="n">
        <x:f>IF(D291=0,"",100*I291/D291)</x:f>
        <x:v>12</x:v>
      </x:c>
      <x:c r="K291" s="72" t="n">
        <x:v>588.33333</x:v>
      </x:c>
      <x:c r="L291" s="72" t="n">
        <x:v>319.641262</x:v>
      </x:c>
      <x:c r="M291" s="72" t="n">
        <x:f>L291-K291</x:f>
        <x:v>-268.69206800000006</x:v>
      </x:c>
      <x:c r="N291" s="72" t="n">
        <x:f>ABS(M291)</x:f>
        <x:v>268.69206800000006</x:v>
      </x:c>
      <x:c r="O291" s="68" t="n">
        <x:f>G291-D291</x:f>
        <x:v>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9" hidden="0" customWidth="1"/>
    <x:col min="3" max="3" width="14" hidden="0" customWidth="1"/>
    <x:col min="4" max="4" width="15" hidden="0" customWidth="1"/>
    <x:col min="5" max="5" width="15" hidden="0" customWidth="1"/>
    <x:col min="6" max="6" width="17" hidden="0" customWidth="1"/>
    <x:col min="7" max="7" width="16" hidden="0" customWidth="1"/>
    <x:col min="8" max="8" width="18" hidden="0" customWidth="1"/>
    <x:col min="9" max="9" width="19" hidden="0" customWidth="1"/>
    <x:col min="10" max="10" width="23" hidden="0" customWidth="1"/>
    <x:col min="11" max="11" width="15" hidden="0" customWidth="1"/>
    <x:col min="12" max="12" width="20" hidden="0" customWidth="1"/>
  </x:cols>
  <x:sheetData>
    <x:row r="1" ht="31" customHeight="1">
      <x:c r="A1" s="63" t="str">
        <x:v>방향</x:v>
      </x:c>
      <x:c r="B1" s="63" t="str">
        <x:v>날짜</x:v>
      </x:c>
      <x:c r="C1" s="63" t="str">
        <x:v>시간(0-23)</x:v>
      </x:c>
      <x:c r="D1" s="63" t="str">
        <x:v>실측 시작</x:v>
      </x:c>
      <x:c r="E1" s="63" t="str">
        <x:v>ME 시작</x:v>
      </x:c>
      <x:c r="F1" s="63" t="str">
        <x:v>NONME 시작</x:v>
      </x:c>
      <x:c r="G1" s="63" t="str">
        <x:v>모델 ALL</x:v>
      </x:c>
      <x:c r="H1" s="63" t="str">
        <x:v>실측 점유분</x:v>
      </x:c>
      <x:c r="I1" s="63" t="str">
        <x:v>모델 ME 점유분</x:v>
      </x:c>
      <x:c r="J1" s="63" t="str">
        <x:v>모델 NONME 점유분</x:v>
      </x:c>
      <x:c r="K1" s="63" t="str">
        <x:v>시작 편향</x:v>
      </x:c>
      <x:c r="L1" s="63" t="str">
        <x:v>시작 절대오차</x:v>
      </x:c>
    </x:row>
    <x:row r="2" ht="22" customHeight="1">
      <x:c r="A2" s="68" t="str">
        <x:v>DOWN</x:v>
      </x:c>
      <x:c r="B2" s="68" t="str">
        <x:v>2026-02-13</x:v>
      </x:c>
      <x:c r="C2" s="68" t="n">
        <x:v>0</x:v>
      </x:c>
      <x:c r="D2" s="68" t="n">
        <x:v>5</x:v>
      </x:c>
      <x:c r="E2" s="68" t="n">
        <x:v>2</x:v>
      </x:c>
      <x:c r="F2" s="68" t="n">
        <x:v>12</x:v>
      </x:c>
      <x:c r="G2" s="68" t="n">
        <x:v>14</x:v>
      </x:c>
      <x:c r="H2" s="82" t="n">
        <x:v>167.55</x:v>
      </x:c>
      <x:c r="I2" s="82" t="n">
        <x:v>9.420132</x:v>
      </x:c>
      <x:c r="J2" s="82" t="n">
        <x:v>56.574257</x:v>
      </x:c>
      <x:c r="K2" s="68" t="n">
        <x:f>E2-D2</x:f>
        <x:v>-3</x:v>
      </x:c>
      <x:c r="L2" s="68" t="n">
        <x:f>ABS(K2)</x:f>
        <x:v>3</x:v>
      </x:c>
    </x:row>
    <x:row r="3" ht="22" customHeight="1">
      <x:c r="A3" s="68" t="str">
        <x:v>DOWN</x:v>
      </x:c>
      <x:c r="B3" s="68" t="str">
        <x:v>2026-02-13</x:v>
      </x:c>
      <x:c r="C3" s="68" t="n">
        <x:v>1</x:v>
      </x:c>
      <x:c r="D3" s="68" t="n">
        <x:v>9</x:v>
      </x:c>
      <x:c r="E3" s="68" t="n">
        <x:v>2</x:v>
      </x:c>
      <x:c r="F3" s="68" t="n">
        <x:v>7</x:v>
      </x:c>
      <x:c r="G3" s="68" t="n">
        <x:v>9</x:v>
      </x:c>
      <x:c r="H3" s="82" t="n">
        <x:v>234.61668</x:v>
      </x:c>
      <x:c r="I3" s="82" t="n">
        <x:v>36.149162</x:v>
      </x:c>
      <x:c r="J3" s="82" t="n">
        <x:v>34.670239</x:v>
      </x:c>
      <x:c r="K3" s="68" t="n">
        <x:f>E3-D3</x:f>
        <x:v>-7</x:v>
      </x:c>
      <x:c r="L3" s="68" t="n">
        <x:f>ABS(K3)</x:f>
        <x:v>7</x:v>
      </x:c>
    </x:row>
    <x:row r="4" ht="22" customHeight="1">
      <x:c r="A4" s="68" t="str">
        <x:v>DOWN</x:v>
      </x:c>
      <x:c r="B4" s="68" t="str">
        <x:v>2026-02-13</x:v>
      </x:c>
      <x:c r="C4" s="68" t="n">
        <x:v>2</x:v>
      </x:c>
      <x:c r="D4" s="68" t="n">
        <x:v>6</x:v>
      </x:c>
      <x:c r="E4" s="68" t="n">
        <x:v>7</x:v>
      </x:c>
      <x:c r="F4" s="68" t="n">
        <x:v>9</x:v>
      </x:c>
      <x:c r="G4" s="68" t="n">
        <x:v>16</x:v>
      </x:c>
      <x:c r="H4" s="82" t="n">
        <x:v>213.38334</x:v>
      </x:c>
      <x:c r="I4" s="82" t="n">
        <x:v>103.848176</x:v>
      </x:c>
      <x:c r="J4" s="82" t="n">
        <x:v>47.263073</x:v>
      </x:c>
      <x:c r="K4" s="68" t="n">
        <x:f>E4-D4</x:f>
        <x:v>1</x:v>
      </x:c>
      <x:c r="L4" s="68" t="n">
        <x:f>ABS(K4)</x:f>
        <x:v>1</x:v>
      </x:c>
    </x:row>
    <x:row r="5" ht="22" customHeight="1">
      <x:c r="A5" s="68" t="str">
        <x:v>DOWN</x:v>
      </x:c>
      <x:c r="B5" s="68" t="str">
        <x:v>2026-02-13</x:v>
      </x:c>
      <x:c r="C5" s="68" t="n">
        <x:v>3</x:v>
      </x:c>
      <x:c r="D5" s="68" t="n">
        <x:v>4</x:v>
      </x:c>
      <x:c r="E5" s="68" t="n">
        <x:v>5</x:v>
      </x:c>
      <x:c r="F5" s="68" t="n">
        <x:v>10</x:v>
      </x:c>
      <x:c r="G5" s="68" t="n">
        <x:v>15</x:v>
      </x:c>
      <x:c r="H5" s="82" t="n">
        <x:v>129.55</x:v>
      </x:c>
      <x:c r="I5" s="82" t="n">
        <x:v>43.754358</x:v>
      </x:c>
      <x:c r="J5" s="82" t="n">
        <x:v>57.048223</x:v>
      </x:c>
      <x:c r="K5" s="68" t="n">
        <x:f>E5-D5</x:f>
        <x:v>1</x:v>
      </x:c>
      <x:c r="L5" s="68" t="n">
        <x:f>ABS(K5)</x:f>
        <x:v>1</x:v>
      </x:c>
    </x:row>
    <x:row r="6" ht="22" customHeight="1">
      <x:c r="A6" s="68" t="str">
        <x:v>DOWN</x:v>
      </x:c>
      <x:c r="B6" s="68" t="str">
        <x:v>2026-02-13</x:v>
      </x:c>
      <x:c r="C6" s="68" t="n">
        <x:v>4</x:v>
      </x:c>
      <x:c r="D6" s="68" t="n">
        <x:v>8</x:v>
      </x:c>
      <x:c r="E6" s="68" t="n">
        <x:v>1</x:v>
      </x:c>
      <x:c r="F6" s="68" t="n">
        <x:v>9</x:v>
      </x:c>
      <x:c r="G6" s="68" t="n">
        <x:v>10</x:v>
      </x:c>
      <x:c r="H6" s="82" t="n">
        <x:v>175.03334</x:v>
      </x:c>
      <x:c r="I6" s="82" t="n">
        <x:v>8.163074</x:v>
      </x:c>
      <x:c r="J6" s="82" t="n">
        <x:v>117.344175</x:v>
      </x:c>
      <x:c r="K6" s="68" t="n">
        <x:f>E6-D6</x:f>
        <x:v>-7</x:v>
      </x:c>
      <x:c r="L6" s="68" t="n">
        <x:f>ABS(K6)</x:f>
        <x:v>7</x:v>
      </x:c>
    </x:row>
    <x:row r="7" ht="22" customHeight="1">
      <x:c r="A7" s="68" t="str">
        <x:v>DOWN</x:v>
      </x:c>
      <x:c r="B7" s="68" t="str">
        <x:v>2026-02-13</x:v>
      </x:c>
      <x:c r="C7" s="68" t="n">
        <x:v>5</x:v>
      </x:c>
      <x:c r="D7" s="68" t="n">
        <x:v>10</x:v>
      </x:c>
      <x:c r="E7" s="68" t="n">
        <x:v>5</x:v>
      </x:c>
      <x:c r="F7" s="68" t="n">
        <x:v>23</x:v>
      </x:c>
      <x:c r="G7" s="68" t="n">
        <x:v>28</x:v>
      </x:c>
      <x:c r="H7" s="82" t="n">
        <x:v>348.56666</x:v>
      </x:c>
      <x:c r="I7" s="82" t="n">
        <x:v>51.562336</x:v>
      </x:c>
      <x:c r="J7" s="82" t="n">
        <x:v>119.39114</x:v>
      </x:c>
      <x:c r="K7" s="68" t="n">
        <x:f>E7-D7</x:f>
        <x:v>-5</x:v>
      </x:c>
      <x:c r="L7" s="68" t="n">
        <x:f>ABS(K7)</x:f>
        <x:v>5</x:v>
      </x:c>
    </x:row>
    <x:row r="8" ht="22" customHeight="1">
      <x:c r="A8" s="68" t="str">
        <x:v>DOWN</x:v>
      </x:c>
      <x:c r="B8" s="68" t="str">
        <x:v>2026-02-13</x:v>
      </x:c>
      <x:c r="C8" s="68" t="n">
        <x:v>6</x:v>
      </x:c>
      <x:c r="D8" s="68" t="n">
        <x:v>18</x:v>
      </x:c>
      <x:c r="E8" s="68" t="n">
        <x:v>9</x:v>
      </x:c>
      <x:c r="F8" s="68" t="n">
        <x:v>24</x:v>
      </x:c>
      <x:c r="G8" s="68" t="n">
        <x:v>33</x:v>
      </x:c>
      <x:c r="H8" s="82" t="n">
        <x:v>470.13334</x:v>
      </x:c>
      <x:c r="I8" s="82" t="n">
        <x:v>74.256348</x:v>
      </x:c>
      <x:c r="J8" s="82" t="n">
        <x:v>182.241926</x:v>
      </x:c>
      <x:c r="K8" s="68" t="n">
        <x:f>E8-D8</x:f>
        <x:v>-9</x:v>
      </x:c>
      <x:c r="L8" s="68" t="n">
        <x:f>ABS(K8)</x:f>
        <x:v>9</x:v>
      </x:c>
    </x:row>
    <x:row r="9" ht="22" customHeight="1">
      <x:c r="A9" s="68" t="str">
        <x:v>DOWN</x:v>
      </x:c>
      <x:c r="B9" s="68" t="str">
        <x:v>2026-02-13</x:v>
      </x:c>
      <x:c r="C9" s="68" t="n">
        <x:v>7</x:v>
      </x:c>
      <x:c r="D9" s="68" t="n">
        <x:v>20</x:v>
      </x:c>
      <x:c r="E9" s="68" t="n">
        <x:v>10</x:v>
      </x:c>
      <x:c r="F9" s="68" t="n">
        <x:v>44</x:v>
      </x:c>
      <x:c r="G9" s="68" t="n">
        <x:v>54</x:v>
      </x:c>
      <x:c r="H9" s="82" t="n">
        <x:v>533.53335</x:v>
      </x:c>
      <x:c r="I9" s="82" t="n">
        <x:v>163.963894</x:v>
      </x:c>
      <x:c r="J9" s="82" t="n">
        <x:v>358.622441</x:v>
      </x:c>
      <x:c r="K9" s="68" t="n">
        <x:f>E9-D9</x:f>
        <x:v>-10</x:v>
      </x:c>
      <x:c r="L9" s="68" t="n">
        <x:f>ABS(K9)</x:f>
        <x:v>10</x:v>
      </x:c>
    </x:row>
    <x:row r="10" ht="22" customHeight="1">
      <x:c r="A10" s="68" t="str">
        <x:v>DOWN</x:v>
      </x:c>
      <x:c r="B10" s="68" t="str">
        <x:v>2026-02-13</x:v>
      </x:c>
      <x:c r="C10" s="68" t="n">
        <x:v>8</x:v>
      </x:c>
      <x:c r="D10" s="68" t="n">
        <x:v>12</x:v>
      </x:c>
      <x:c r="E10" s="68" t="n">
        <x:v>17</x:v>
      </x:c>
      <x:c r="F10" s="68" t="n">
        <x:v>47</x:v>
      </x:c>
      <x:c r="G10" s="68" t="n">
        <x:v>64</x:v>
      </x:c>
      <x:c r="H10" s="82" t="n">
        <x:v>390.63333</x:v>
      </x:c>
      <x:c r="I10" s="82" t="n">
        <x:v>179.036801</x:v>
      </x:c>
      <x:c r="J10" s="82" t="n">
        <x:v>361.886555</x:v>
      </x:c>
      <x:c r="K10" s="68" t="n">
        <x:f>E10-D10</x:f>
        <x:v>5</x:v>
      </x:c>
      <x:c r="L10" s="68" t="n">
        <x:f>ABS(K10)</x:f>
        <x:v>5</x:v>
      </x:c>
    </x:row>
    <x:row r="11" ht="22" customHeight="1">
      <x:c r="A11" s="68" t="str">
        <x:v>DOWN</x:v>
      </x:c>
      <x:c r="B11" s="68" t="str">
        <x:v>2026-02-13</x:v>
      </x:c>
      <x:c r="C11" s="68" t="n">
        <x:v>9</x:v>
      </x:c>
      <x:c r="D11" s="68" t="n">
        <x:v>16</x:v>
      </x:c>
      <x:c r="E11" s="68" t="n">
        <x:v>20</x:v>
      </x:c>
      <x:c r="F11" s="68" t="n">
        <x:v>52</x:v>
      </x:c>
      <x:c r="G11" s="68" t="n">
        <x:v>72</x:v>
      </x:c>
      <x:c r="H11" s="82" t="n">
        <x:v>309.8</x:v>
      </x:c>
      <x:c r="I11" s="82" t="n">
        <x:v>153.752045</x:v>
      </x:c>
      <x:c r="J11" s="82" t="n">
        <x:v>447.549603</x:v>
      </x:c>
      <x:c r="K11" s="68" t="n">
        <x:f>E11-D11</x:f>
        <x:v>4</x:v>
      </x:c>
      <x:c r="L11" s="68" t="n">
        <x:f>ABS(K11)</x:f>
        <x:v>4</x:v>
      </x:c>
    </x:row>
    <x:row r="12" ht="22" customHeight="1">
      <x:c r="A12" s="68" t="str">
        <x:v>DOWN</x:v>
      </x:c>
      <x:c r="B12" s="68" t="str">
        <x:v>2026-02-13</x:v>
      </x:c>
      <x:c r="C12" s="68" t="n">
        <x:v>10</x:v>
      </x:c>
      <x:c r="D12" s="68" t="n">
        <x:v>25</x:v>
      </x:c>
      <x:c r="E12" s="68" t="n">
        <x:v>20</x:v>
      </x:c>
      <x:c r="F12" s="68" t="n">
        <x:v>49</x:v>
      </x:c>
      <x:c r="G12" s="68" t="n">
        <x:v>69</x:v>
      </x:c>
      <x:c r="H12" s="82" t="n">
        <x:v>686.83334</x:v>
      </x:c>
      <x:c r="I12" s="82" t="n">
        <x:v>275.336817</x:v>
      </x:c>
      <x:c r="J12" s="82" t="n">
        <x:v>298.311707</x:v>
      </x:c>
      <x:c r="K12" s="68" t="n">
        <x:f>E12-D12</x:f>
        <x:v>-5</x:v>
      </x:c>
      <x:c r="L12" s="68" t="n">
        <x:f>ABS(K12)</x:f>
        <x:v>5</x:v>
      </x:c>
    </x:row>
    <x:row r="13" ht="22" customHeight="1">
      <x:c r="A13" s="68" t="str">
        <x:v>DOWN</x:v>
      </x:c>
      <x:c r="B13" s="68" t="str">
        <x:v>2026-02-13</x:v>
      </x:c>
      <x:c r="C13" s="68" t="n">
        <x:v>11</x:v>
      </x:c>
      <x:c r="D13" s="68" t="n">
        <x:v>40</x:v>
      </x:c>
      <x:c r="E13" s="68" t="n">
        <x:v>18</x:v>
      </x:c>
      <x:c r="F13" s="68" t="n">
        <x:v>60</x:v>
      </x:c>
      <x:c r="G13" s="68" t="n">
        <x:v>78</x:v>
      </x:c>
      <x:c r="H13" s="82" t="n">
        <x:v>860.05</x:v>
      </x:c>
      <x:c r="I13" s="82" t="n">
        <x:v>206.682958</x:v>
      </x:c>
      <x:c r="J13" s="82" t="n">
        <x:v>423.468616</x:v>
      </x:c>
      <x:c r="K13" s="68" t="n">
        <x:f>E13-D13</x:f>
        <x:v>-22</x:v>
      </x:c>
      <x:c r="L13" s="68" t="n">
        <x:f>ABS(K13)</x:f>
        <x:v>22</x:v>
      </x:c>
    </x:row>
    <x:row r="14" ht="22" customHeight="1">
      <x:c r="A14" s="68" t="str">
        <x:v>DOWN</x:v>
      </x:c>
      <x:c r="B14" s="68" t="str">
        <x:v>2026-02-13</x:v>
      </x:c>
      <x:c r="C14" s="68" t="n">
        <x:v>12</x:v>
      </x:c>
      <x:c r="D14" s="68" t="n">
        <x:v>40</x:v>
      </x:c>
      <x:c r="E14" s="68" t="n">
        <x:v>19</x:v>
      </x:c>
      <x:c r="F14" s="68" t="n">
        <x:v>62</x:v>
      </x:c>
      <x:c r="G14" s="68" t="n">
        <x:v>81</x:v>
      </x:c>
      <x:c r="H14" s="82" t="n">
        <x:v>1241.88333</x:v>
      </x:c>
      <x:c r="I14" s="82" t="n">
        <x:v>215.066571</x:v>
      </x:c>
      <x:c r="J14" s="82" t="n">
        <x:v>594.118578</x:v>
      </x:c>
      <x:c r="K14" s="68" t="n">
        <x:f>E14-D14</x:f>
        <x:v>-21</x:v>
      </x:c>
      <x:c r="L14" s="68" t="n">
        <x:f>ABS(K14)</x:f>
        <x:v>21</x:v>
      </x:c>
    </x:row>
    <x:row r="15" ht="22" customHeight="1">
      <x:c r="A15" s="68" t="str">
        <x:v>DOWN</x:v>
      </x:c>
      <x:c r="B15" s="68" t="str">
        <x:v>2026-02-13</x:v>
      </x:c>
      <x:c r="C15" s="68" t="n">
        <x:v>13</x:v>
      </x:c>
      <x:c r="D15" s="68" t="n">
        <x:v>36</x:v>
      </x:c>
      <x:c r="E15" s="68" t="n">
        <x:v>24</x:v>
      </x:c>
      <x:c r="F15" s="68" t="n">
        <x:v>75</x:v>
      </x:c>
      <x:c r="G15" s="68" t="n">
        <x:v>99</x:v>
      </x:c>
      <x:c r="H15" s="82" t="n">
        <x:v>1396.46666</x:v>
      </x:c>
      <x:c r="I15" s="82" t="n">
        <x:v>326.968336</x:v>
      </x:c>
      <x:c r="J15" s="82" t="n">
        <x:v>630.717068</x:v>
      </x:c>
      <x:c r="K15" s="68" t="n">
        <x:f>E15-D15</x:f>
        <x:v>-12</x:v>
      </x:c>
      <x:c r="L15" s="68" t="n">
        <x:f>ABS(K15)</x:f>
        <x:v>12</x:v>
      </x:c>
    </x:row>
    <x:row r="16" ht="22" customHeight="1">
      <x:c r="A16" s="68" t="str">
        <x:v>DOWN</x:v>
      </x:c>
      <x:c r="B16" s="68" t="str">
        <x:v>2026-02-13</x:v>
      </x:c>
      <x:c r="C16" s="68" t="n">
        <x:v>14</x:v>
      </x:c>
      <x:c r="D16" s="68" t="n">
        <x:v>41</x:v>
      </x:c>
      <x:c r="E16" s="68" t="n">
        <x:v>27</x:v>
      </x:c>
      <x:c r="F16" s="68" t="n">
        <x:v>64</x:v>
      </x:c>
      <x:c r="G16" s="68" t="n">
        <x:v>91</x:v>
      </x:c>
      <x:c r="H16" s="82" t="n">
        <x:v>1025.03333</x:v>
      </x:c>
      <x:c r="I16" s="82" t="n">
        <x:v>389.996783</x:v>
      </x:c>
      <x:c r="J16" s="82" t="n">
        <x:v>571.579937</x:v>
      </x:c>
      <x:c r="K16" s="68" t="n">
        <x:f>E16-D16</x:f>
        <x:v>-14</x:v>
      </x:c>
      <x:c r="L16" s="68" t="n">
        <x:f>ABS(K16)</x:f>
        <x:v>14</x:v>
      </x:c>
    </x:row>
    <x:row r="17" ht="22" customHeight="1">
      <x:c r="A17" s="68" t="str">
        <x:v>DOWN</x:v>
      </x:c>
      <x:c r="B17" s="68" t="str">
        <x:v>2026-02-13</x:v>
      </x:c>
      <x:c r="C17" s="68" t="n">
        <x:v>15</x:v>
      </x:c>
      <x:c r="D17" s="68" t="n">
        <x:v>33</x:v>
      </x:c>
      <x:c r="E17" s="68" t="n">
        <x:v>30</x:v>
      </x:c>
      <x:c r="F17" s="68" t="n">
        <x:v>84</x:v>
      </x:c>
      <x:c r="G17" s="68" t="n">
        <x:v>114</x:v>
      </x:c>
      <x:c r="H17" s="82" t="n">
        <x:v>980.06665</x:v>
      </x:c>
      <x:c r="I17" s="82" t="n">
        <x:v>396.854673</x:v>
      </x:c>
      <x:c r="J17" s="82" t="n">
        <x:v>730.25185</x:v>
      </x:c>
      <x:c r="K17" s="68" t="n">
        <x:f>E17-D17</x:f>
        <x:v>-3</x:v>
      </x:c>
      <x:c r="L17" s="68" t="n">
        <x:f>ABS(K17)</x:f>
        <x:v>3</x:v>
      </x:c>
    </x:row>
    <x:row r="18" ht="22" customHeight="1">
      <x:c r="A18" s="68" t="str">
        <x:v>DOWN</x:v>
      </x:c>
      <x:c r="B18" s="68" t="str">
        <x:v>2026-02-13</x:v>
      </x:c>
      <x:c r="C18" s="68" t="n">
        <x:v>16</x:v>
      </x:c>
      <x:c r="D18" s="68" t="n">
        <x:v>38</x:v>
      </x:c>
      <x:c r="E18" s="68" t="n">
        <x:v>26</x:v>
      </x:c>
      <x:c r="F18" s="68" t="n">
        <x:v>68</x:v>
      </x:c>
      <x:c r="G18" s="68" t="n">
        <x:v>94</x:v>
      </x:c>
      <x:c r="H18" s="82" t="n">
        <x:v>936.05</x:v>
      </x:c>
      <x:c r="I18" s="82" t="n">
        <x:v>453.244394</x:v>
      </x:c>
      <x:c r="J18" s="82" t="n">
        <x:v>768.165618</x:v>
      </x:c>
      <x:c r="K18" s="68" t="n">
        <x:f>E18-D18</x:f>
        <x:v>-12</x:v>
      </x:c>
      <x:c r="L18" s="68" t="n">
        <x:f>ABS(K18)</x:f>
        <x:v>12</x:v>
      </x:c>
    </x:row>
    <x:row r="19" ht="22" customHeight="1">
      <x:c r="A19" s="68" t="str">
        <x:v>DOWN</x:v>
      </x:c>
      <x:c r="B19" s="68" t="str">
        <x:v>2026-02-13</x:v>
      </x:c>
      <x:c r="C19" s="68" t="n">
        <x:v>17</x:v>
      </x:c>
      <x:c r="D19" s="68" t="n">
        <x:v>42</x:v>
      </x:c>
      <x:c r="E19" s="68" t="n">
        <x:v>36</x:v>
      </x:c>
      <x:c r="F19" s="68" t="n">
        <x:v>74</x:v>
      </x:c>
      <x:c r="G19" s="68" t="n">
        <x:v>110</x:v>
      </x:c>
      <x:c r="H19" s="82" t="n">
        <x:v>1140.33334</x:v>
      </x:c>
      <x:c r="I19" s="82" t="n">
        <x:v>350.6844</x:v>
      </x:c>
      <x:c r="J19" s="82" t="n">
        <x:v>701.595952</x:v>
      </x:c>
      <x:c r="K19" s="68" t="n">
        <x:f>E19-D19</x:f>
        <x:v>-6</x:v>
      </x:c>
      <x:c r="L19" s="68" t="n">
        <x:f>ABS(K19)</x:f>
        <x:v>6</x:v>
      </x:c>
    </x:row>
    <x:row r="20" ht="22" customHeight="1">
      <x:c r="A20" s="68" t="str">
        <x:v>DOWN</x:v>
      </x:c>
      <x:c r="B20" s="68" t="str">
        <x:v>2026-02-13</x:v>
      </x:c>
      <x:c r="C20" s="68" t="n">
        <x:v>18</x:v>
      </x:c>
      <x:c r="D20" s="68" t="n">
        <x:v>24</x:v>
      </x:c>
      <x:c r="E20" s="68" t="n">
        <x:v>36</x:v>
      </x:c>
      <x:c r="F20" s="68" t="n">
        <x:v>67</x:v>
      </x:c>
      <x:c r="G20" s="68" t="n">
        <x:v>103</x:v>
      </x:c>
      <x:c r="H20" s="82" t="n">
        <x:v>714.66666</x:v>
      </x:c>
      <x:c r="I20" s="82" t="n">
        <x:v>493.044872</x:v>
      </x:c>
      <x:c r="J20" s="82" t="n">
        <x:v>615.071689</x:v>
      </x:c>
      <x:c r="K20" s="68" t="n">
        <x:f>E20-D20</x:f>
        <x:v>12</x:v>
      </x:c>
      <x:c r="L20" s="68" t="n">
        <x:f>ABS(K20)</x:f>
        <x:v>12</x:v>
      </x:c>
    </x:row>
    <x:row r="21" ht="22" customHeight="1">
      <x:c r="A21" s="68" t="str">
        <x:v>DOWN</x:v>
      </x:c>
      <x:c r="B21" s="68" t="str">
        <x:v>2026-02-13</x:v>
      </x:c>
      <x:c r="C21" s="68" t="n">
        <x:v>19</x:v>
      </x:c>
      <x:c r="D21" s="68" t="n">
        <x:v>31</x:v>
      </x:c>
      <x:c r="E21" s="68" t="n">
        <x:v>29</x:v>
      </x:c>
      <x:c r="F21" s="68" t="n">
        <x:v>46</x:v>
      </x:c>
      <x:c r="G21" s="68" t="n">
        <x:v>75</x:v>
      </x:c>
      <x:c r="H21" s="82" t="n">
        <x:v>728.16667</x:v>
      </x:c>
      <x:c r="I21" s="82" t="n">
        <x:v>415.629229</x:v>
      </x:c>
      <x:c r="J21" s="82" t="n">
        <x:v>423.464785</x:v>
      </x:c>
      <x:c r="K21" s="68" t="n">
        <x:f>E21-D21</x:f>
        <x:v>-2</x:v>
      </x:c>
      <x:c r="L21" s="68" t="n">
        <x:f>ABS(K21)</x:f>
        <x:v>2</x:v>
      </x:c>
    </x:row>
    <x:row r="22" ht="22" customHeight="1">
      <x:c r="A22" s="68" t="str">
        <x:v>DOWN</x:v>
      </x:c>
      <x:c r="B22" s="68" t="str">
        <x:v>2026-02-13</x:v>
      </x:c>
      <x:c r="C22" s="68" t="n">
        <x:v>20</x:v>
      </x:c>
      <x:c r="D22" s="68" t="n">
        <x:v>25</x:v>
      </x:c>
      <x:c r="E22" s="68" t="n">
        <x:v>25</x:v>
      </x:c>
      <x:c r="F22" s="68" t="n">
        <x:v>58</x:v>
      </x:c>
      <x:c r="G22" s="68" t="n">
        <x:v>83</x:v>
      </x:c>
      <x:c r="H22" s="82" t="n">
        <x:v>810.41667</x:v>
      </x:c>
      <x:c r="I22" s="82" t="n">
        <x:v>323.389286</x:v>
      </x:c>
      <x:c r="J22" s="82" t="n">
        <x:v>553.547321</x:v>
      </x:c>
      <x:c r="K22" s="68" t="n">
        <x:f>E22-D22</x:f>
        <x:v>0</x:v>
      </x:c>
      <x:c r="L22" s="68" t="n">
        <x:f>ABS(K22)</x:f>
        <x:v>0</x:v>
      </x:c>
    </x:row>
    <x:row r="23" ht="22" customHeight="1">
      <x:c r="A23" s="68" t="str">
        <x:v>DOWN</x:v>
      </x:c>
      <x:c r="B23" s="68" t="str">
        <x:v>2026-02-13</x:v>
      </x:c>
      <x:c r="C23" s="68" t="n">
        <x:v>21</x:v>
      </x:c>
      <x:c r="D23" s="68" t="n">
        <x:v>28</x:v>
      </x:c>
      <x:c r="E23" s="68" t="n">
        <x:v>15</x:v>
      </x:c>
      <x:c r="F23" s="68" t="n">
        <x:v>64</x:v>
      </x:c>
      <x:c r="G23" s="68" t="n">
        <x:v>79</x:v>
      </x:c>
      <x:c r="H23" s="82" t="n">
        <x:v>769.11668</x:v>
      </x:c>
      <x:c r="I23" s="82" t="n">
        <x:v>283.351719</x:v>
      </x:c>
      <x:c r="J23" s="82" t="n">
        <x:v>436.961163</x:v>
      </x:c>
      <x:c r="K23" s="68" t="n">
        <x:f>E23-D23</x:f>
        <x:v>-13</x:v>
      </x:c>
      <x:c r="L23" s="68" t="n">
        <x:f>ABS(K23)</x:f>
        <x:v>13</x:v>
      </x:c>
    </x:row>
    <x:row r="24" ht="22" customHeight="1">
      <x:c r="A24" s="68" t="str">
        <x:v>DOWN</x:v>
      </x:c>
      <x:c r="B24" s="68" t="str">
        <x:v>2026-02-13</x:v>
      </x:c>
      <x:c r="C24" s="68" t="n">
        <x:v>22</x:v>
      </x:c>
      <x:c r="D24" s="68" t="n">
        <x:v>20</x:v>
      </x:c>
      <x:c r="E24" s="68" t="n">
        <x:v>15</x:v>
      </x:c>
      <x:c r="F24" s="68" t="n">
        <x:v>56</x:v>
      </x:c>
      <x:c r="G24" s="68" t="n">
        <x:v>71</x:v>
      </x:c>
      <x:c r="H24" s="82" t="n">
        <x:v>489.66668</x:v>
      </x:c>
      <x:c r="I24" s="82" t="n">
        <x:v>188.601068</x:v>
      </x:c>
      <x:c r="J24" s="82" t="n">
        <x:v>409.954427</x:v>
      </x:c>
      <x:c r="K24" s="68" t="n">
        <x:f>E24-D24</x:f>
        <x:v>-5</x:v>
      </x:c>
      <x:c r="L24" s="68" t="n">
        <x:f>ABS(K24)</x:f>
        <x:v>5</x:v>
      </x:c>
    </x:row>
    <x:row r="25" ht="22" customHeight="1">
      <x:c r="A25" s="68" t="str">
        <x:v>DOWN</x:v>
      </x:c>
      <x:c r="B25" s="68" t="str">
        <x:v>2026-02-13</x:v>
      </x:c>
      <x:c r="C25" s="68" t="n">
        <x:v>23</x:v>
      </x:c>
      <x:c r="D25" s="68" t="n">
        <x:v>21</x:v>
      </x:c>
      <x:c r="E25" s="68" t="n">
        <x:v>16</x:v>
      </x:c>
      <x:c r="F25" s="68" t="n">
        <x:v>51</x:v>
      </x:c>
      <x:c r="G25" s="68" t="n">
        <x:v>67</x:v>
      </x:c>
      <x:c r="H25" s="82" t="n">
        <x:v>569.60001</x:v>
      </x:c>
      <x:c r="I25" s="82" t="n">
        <x:v>231.132368</x:v>
      </x:c>
      <x:c r="J25" s="82" t="n">
        <x:v>553.395885</x:v>
      </x:c>
      <x:c r="K25" s="68" t="n">
        <x:f>E25-D25</x:f>
        <x:v>-5</x:v>
      </x:c>
      <x:c r="L25" s="68" t="n">
        <x:f>ABS(K25)</x:f>
        <x:v>5</x:v>
      </x:c>
    </x:row>
    <x:row r="26" ht="22" customHeight="1">
      <x:c r="A26" s="68" t="str">
        <x:v>DOWN</x:v>
      </x:c>
      <x:c r="B26" s="68" t="str">
        <x:v>2026-02-14</x:v>
      </x:c>
      <x:c r="C26" s="68" t="n">
        <x:v>0</x:v>
      </x:c>
      <x:c r="D26" s="68" t="n">
        <x:v>21</x:v>
      </x:c>
      <x:c r="E26" s="68" t="n">
        <x:v>1</x:v>
      </x:c>
      <x:c r="F26" s="68" t="n">
        <x:v>19</x:v>
      </x:c>
      <x:c r="G26" s="68" t="n">
        <x:v>20</x:v>
      </x:c>
      <x:c r="H26" s="82" t="n">
        <x:v>485.31667</x:v>
      </x:c>
      <x:c r="I26" s="82" t="n">
        <x:v>18.973518</x:v>
      </x:c>
      <x:c r="J26" s="82" t="n">
        <x:v>64.260779</x:v>
      </x:c>
      <x:c r="K26" s="68" t="n">
        <x:f>E26-D26</x:f>
        <x:v>-20</x:v>
      </x:c>
      <x:c r="L26" s="68" t="n">
        <x:f>ABS(K26)</x:f>
        <x:v>20</x:v>
      </x:c>
    </x:row>
    <x:row r="27" ht="22" customHeight="1">
      <x:c r="A27" s="68" t="str">
        <x:v>DOWN</x:v>
      </x:c>
      <x:c r="B27" s="68" t="str">
        <x:v>2026-02-14</x:v>
      </x:c>
      <x:c r="C27" s="68" t="n">
        <x:v>1</x:v>
      </x:c>
      <x:c r="D27" s="68" t="n">
        <x:v>20</x:v>
      </x:c>
      <x:c r="E27" s="68" t="n">
        <x:v>6</x:v>
      </x:c>
      <x:c r="F27" s="68" t="n">
        <x:v>22</x:v>
      </x:c>
      <x:c r="G27" s="68" t="n">
        <x:v>28</x:v>
      </x:c>
      <x:c r="H27" s="82" t="n">
        <x:v>529.69999</x:v>
      </x:c>
      <x:c r="I27" s="82" t="n">
        <x:v>40.828411</x:v>
      </x:c>
      <x:c r="J27" s="82" t="n">
        <x:v>97.490397</x:v>
      </x:c>
      <x:c r="K27" s="68" t="n">
        <x:f>E27-D27</x:f>
        <x:v>-14</x:v>
      </x:c>
      <x:c r="L27" s="68" t="n">
        <x:f>ABS(K27)</x:f>
        <x:v>14</x:v>
      </x:c>
    </x:row>
    <x:row r="28" ht="22" customHeight="1">
      <x:c r="A28" s="68" t="str">
        <x:v>DOWN</x:v>
      </x:c>
      <x:c r="B28" s="68" t="str">
        <x:v>2026-02-14</x:v>
      </x:c>
      <x:c r="C28" s="68" t="n">
        <x:v>2</x:v>
      </x:c>
      <x:c r="D28" s="68" t="n">
        <x:v>9</x:v>
      </x:c>
      <x:c r="E28" s="68" t="n">
        <x:v>5</x:v>
      </x:c>
      <x:c r="F28" s="68" t="n">
        <x:v>25</x:v>
      </x:c>
      <x:c r="G28" s="68" t="n">
        <x:v>30</x:v>
      </x:c>
      <x:c r="H28" s="82" t="n">
        <x:v>286.09999</x:v>
      </x:c>
      <x:c r="I28" s="82" t="n">
        <x:v>145.910669</x:v>
      </x:c>
      <x:c r="J28" s="82" t="n">
        <x:v>177.118384</x:v>
      </x:c>
      <x:c r="K28" s="68" t="n">
        <x:f>E28-D28</x:f>
        <x:v>-4</x:v>
      </x:c>
      <x:c r="L28" s="68" t="n">
        <x:f>ABS(K28)</x:f>
        <x:v>4</x:v>
      </x:c>
    </x:row>
    <x:row r="29" ht="22" customHeight="1">
      <x:c r="A29" s="68" t="str">
        <x:v>DOWN</x:v>
      </x:c>
      <x:c r="B29" s="68" t="str">
        <x:v>2026-02-14</x:v>
      </x:c>
      <x:c r="C29" s="68" t="n">
        <x:v>3</x:v>
      </x:c>
      <x:c r="D29" s="68" t="n">
        <x:v>12</x:v>
      </x:c>
      <x:c r="E29" s="68" t="n">
        <x:v>4</x:v>
      </x:c>
      <x:c r="F29" s="68" t="n">
        <x:v>28</x:v>
      </x:c>
      <x:c r="G29" s="68" t="n">
        <x:v>32</x:v>
      </x:c>
      <x:c r="H29" s="82" t="n">
        <x:v>406.63334</x:v>
      </x:c>
      <x:c r="I29" s="82" t="n">
        <x:v>41.446391</x:v>
      </x:c>
      <x:c r="J29" s="82" t="n">
        <x:v>183.633231</x:v>
      </x:c>
      <x:c r="K29" s="68" t="n">
        <x:f>E29-D29</x:f>
        <x:v>-8</x:v>
      </x:c>
      <x:c r="L29" s="68" t="n">
        <x:f>ABS(K29)</x:f>
        <x:v>8</x:v>
      </x:c>
    </x:row>
    <x:row r="30" ht="22" customHeight="1">
      <x:c r="A30" s="68" t="str">
        <x:v>DOWN</x:v>
      </x:c>
      <x:c r="B30" s="68" t="str">
        <x:v>2026-02-14</x:v>
      </x:c>
      <x:c r="C30" s="68" t="n">
        <x:v>4</x:v>
      </x:c>
      <x:c r="D30" s="68" t="n">
        <x:v>9</x:v>
      </x:c>
      <x:c r="E30" s="68" t="n">
        <x:v>3</x:v>
      </x:c>
      <x:c r="F30" s="68" t="n">
        <x:v>29</x:v>
      </x:c>
      <x:c r="G30" s="68" t="n">
        <x:v>32</x:v>
      </x:c>
      <x:c r="H30" s="82" t="n">
        <x:v>346.61667</x:v>
      </x:c>
      <x:c r="I30" s="82" t="n">
        <x:v>21.599091</x:v>
      </x:c>
      <x:c r="J30" s="82" t="n">
        <x:v>154.511827</x:v>
      </x:c>
      <x:c r="K30" s="68" t="n">
        <x:f>E30-D30</x:f>
        <x:v>-6</x:v>
      </x:c>
      <x:c r="L30" s="68" t="n">
        <x:f>ABS(K30)</x:f>
        <x:v>6</x:v>
      </x:c>
    </x:row>
    <x:row r="31" ht="22" customHeight="1">
      <x:c r="A31" s="68" t="str">
        <x:v>DOWN</x:v>
      </x:c>
      <x:c r="B31" s="68" t="str">
        <x:v>2026-02-14</x:v>
      </x:c>
      <x:c r="C31" s="68" t="n">
        <x:v>5</x:v>
      </x:c>
      <x:c r="D31" s="68" t="n">
        <x:v>14</x:v>
      </x:c>
      <x:c r="E31" s="68" t="n">
        <x:v>7</x:v>
      </x:c>
      <x:c r="F31" s="68" t="n">
        <x:v>34</x:v>
      </x:c>
      <x:c r="G31" s="68" t="n">
        <x:v>41</x:v>
      </x:c>
      <x:c r="H31" s="82" t="n">
        <x:v>533.48333</x:v>
      </x:c>
      <x:c r="I31" s="82" t="n">
        <x:v>92.29608</x:v>
      </x:c>
      <x:c r="J31" s="82" t="n">
        <x:v>220.616898</x:v>
      </x:c>
      <x:c r="K31" s="68" t="n">
        <x:f>E31-D31</x:f>
        <x:v>-7</x:v>
      </x:c>
      <x:c r="L31" s="68" t="n">
        <x:f>ABS(K31)</x:f>
        <x:v>7</x:v>
      </x:c>
    </x:row>
    <x:row r="32" ht="22" customHeight="1">
      <x:c r="A32" s="68" t="str">
        <x:v>DOWN</x:v>
      </x:c>
      <x:c r="B32" s="68" t="str">
        <x:v>2026-02-14</x:v>
      </x:c>
      <x:c r="C32" s="68" t="n">
        <x:v>6</x:v>
      </x:c>
      <x:c r="D32" s="68" t="n">
        <x:v>22</x:v>
      </x:c>
      <x:c r="E32" s="68" t="n">
        <x:v>7</x:v>
      </x:c>
      <x:c r="F32" s="68" t="n">
        <x:v>42</x:v>
      </x:c>
      <x:c r="G32" s="68" t="n">
        <x:v>49</x:v>
      </x:c>
      <x:c r="H32" s="82" t="n">
        <x:v>645.56667</x:v>
      </x:c>
      <x:c r="I32" s="82" t="n">
        <x:v>84.52542</x:v>
      </x:c>
      <x:c r="J32" s="82" t="n">
        <x:v>260.945155</x:v>
      </x:c>
      <x:c r="K32" s="68" t="n">
        <x:f>E32-D32</x:f>
        <x:v>-15</x:v>
      </x:c>
      <x:c r="L32" s="68" t="n">
        <x:f>ABS(K32)</x:f>
        <x:v>15</x:v>
      </x:c>
    </x:row>
    <x:row r="33" ht="22" customHeight="1">
      <x:c r="A33" s="68" t="str">
        <x:v>DOWN</x:v>
      </x:c>
      <x:c r="B33" s="68" t="str">
        <x:v>2026-02-14</x:v>
      </x:c>
      <x:c r="C33" s="68" t="n">
        <x:v>7</x:v>
      </x:c>
      <x:c r="D33" s="68" t="n">
        <x:v>30</x:v>
      </x:c>
      <x:c r="E33" s="68" t="n">
        <x:v>16</x:v>
      </x:c>
      <x:c r="F33" s="68" t="n">
        <x:v>42</x:v>
      </x:c>
      <x:c r="G33" s="68" t="n">
        <x:v>58</x:v>
      </x:c>
      <x:c r="H33" s="82" t="n">
        <x:v>704.66667</x:v>
      </x:c>
      <x:c r="I33" s="82" t="n">
        <x:v>147.201844</x:v>
      </x:c>
      <x:c r="J33" s="82" t="n">
        <x:v>249.592879</x:v>
      </x:c>
      <x:c r="K33" s="68" t="n">
        <x:f>E33-D33</x:f>
        <x:v>-14</x:v>
      </x:c>
      <x:c r="L33" s="68" t="n">
        <x:f>ABS(K33)</x:f>
        <x:v>14</x:v>
      </x:c>
    </x:row>
    <x:row r="34" ht="22" customHeight="1">
      <x:c r="A34" s="68" t="str">
        <x:v>DOWN</x:v>
      </x:c>
      <x:c r="B34" s="68" t="str">
        <x:v>2026-02-14</x:v>
      </x:c>
      <x:c r="C34" s="68" t="n">
        <x:v>8</x:v>
      </x:c>
      <x:c r="D34" s="68" t="n">
        <x:v>34</x:v>
      </x:c>
      <x:c r="E34" s="68" t="n">
        <x:v>11</x:v>
      </x:c>
      <x:c r="F34" s="68" t="n">
        <x:v>35</x:v>
      </x:c>
      <x:c r="G34" s="68" t="n">
        <x:v>46</x:v>
      </x:c>
      <x:c r="H34" s="82" t="n">
        <x:v>1034.33333</x:v>
      </x:c>
      <x:c r="I34" s="82" t="n">
        <x:v>157.440909</x:v>
      </x:c>
      <x:c r="J34" s="82" t="n">
        <x:v>293.925112</x:v>
      </x:c>
      <x:c r="K34" s="68" t="n">
        <x:f>E34-D34</x:f>
        <x:v>-23</x:v>
      </x:c>
      <x:c r="L34" s="68" t="n">
        <x:f>ABS(K34)</x:f>
        <x:v>23</x:v>
      </x:c>
    </x:row>
    <x:row r="35" ht="22" customHeight="1">
      <x:c r="A35" s="68" t="str">
        <x:v>DOWN</x:v>
      </x:c>
      <x:c r="B35" s="68" t="str">
        <x:v>2026-02-14</x:v>
      </x:c>
      <x:c r="C35" s="68" t="n">
        <x:v>9</x:v>
      </x:c>
      <x:c r="D35" s="68" t="n">
        <x:v>39</x:v>
      </x:c>
      <x:c r="E35" s="68" t="n">
        <x:v>20</x:v>
      </x:c>
      <x:c r="F35" s="68" t="n">
        <x:v>46</x:v>
      </x:c>
      <x:c r="G35" s="68" t="n">
        <x:v>66</x:v>
      </x:c>
      <x:c r="H35" s="82" t="n">
        <x:v>1171.53332</x:v>
      </x:c>
      <x:c r="I35" s="82" t="n">
        <x:v>218.840152</x:v>
      </x:c>
      <x:c r="J35" s="82" t="n">
        <x:v>273.958028</x:v>
      </x:c>
      <x:c r="K35" s="68" t="n">
        <x:f>E35-D35</x:f>
        <x:v>-19</x:v>
      </x:c>
      <x:c r="L35" s="68" t="n">
        <x:f>ABS(K35)</x:f>
        <x:v>19</x:v>
      </x:c>
    </x:row>
    <x:row r="36" ht="22" customHeight="1">
      <x:c r="A36" s="68" t="str">
        <x:v>DOWN</x:v>
      </x:c>
      <x:c r="B36" s="68" t="str">
        <x:v>2026-02-14</x:v>
      </x:c>
      <x:c r="C36" s="68" t="n">
        <x:v>10</x:v>
      </x:c>
      <x:c r="D36" s="68" t="n">
        <x:v>42</x:v>
      </x:c>
      <x:c r="E36" s="68" t="n">
        <x:v>17</x:v>
      </x:c>
      <x:c r="F36" s="68" t="n">
        <x:v>65</x:v>
      </x:c>
      <x:c r="G36" s="68" t="n">
        <x:v>82</x:v>
      </x:c>
      <x:c r="H36" s="82" t="n">
        <x:v>1173.2</x:v>
      </x:c>
      <x:c r="I36" s="82" t="n">
        <x:v>222.360903</x:v>
      </x:c>
      <x:c r="J36" s="82" t="n">
        <x:v>481.877623</x:v>
      </x:c>
      <x:c r="K36" s="68" t="n">
        <x:f>E36-D36</x:f>
        <x:v>-25</x:v>
      </x:c>
      <x:c r="L36" s="68" t="n">
        <x:f>ABS(K36)</x:f>
        <x:v>25</x:v>
      </x:c>
    </x:row>
    <x:row r="37" ht="22" customHeight="1">
      <x:c r="A37" s="68" t="str">
        <x:v>DOWN</x:v>
      </x:c>
      <x:c r="B37" s="68" t="str">
        <x:v>2026-02-14</x:v>
      </x:c>
      <x:c r="C37" s="68" t="n">
        <x:v>11</x:v>
      </x:c>
      <x:c r="D37" s="68" t="n">
        <x:v>42</x:v>
      </x:c>
      <x:c r="E37" s="68" t="n">
        <x:v>29</x:v>
      </x:c>
      <x:c r="F37" s="68" t="n">
        <x:v>58</x:v>
      </x:c>
      <x:c r="G37" s="68" t="n">
        <x:v>87</x:v>
      </x:c>
      <x:c r="H37" s="82" t="n">
        <x:v>919.88332</x:v>
      </x:c>
      <x:c r="I37" s="82" t="n">
        <x:v>327.44975</x:v>
      </x:c>
      <x:c r="J37" s="82" t="n">
        <x:v>517.883292</x:v>
      </x:c>
      <x:c r="K37" s="68" t="n">
        <x:f>E37-D37</x:f>
        <x:v>-13</x:v>
      </x:c>
      <x:c r="L37" s="68" t="n">
        <x:f>ABS(K37)</x:f>
        <x:v>13</x:v>
      </x:c>
    </x:row>
    <x:row r="38" ht="22" customHeight="1">
      <x:c r="A38" s="68" t="str">
        <x:v>DOWN</x:v>
      </x:c>
      <x:c r="B38" s="68" t="str">
        <x:v>2026-02-14</x:v>
      </x:c>
      <x:c r="C38" s="68" t="n">
        <x:v>12</x:v>
      </x:c>
      <x:c r="D38" s="68" t="n">
        <x:v>44</x:v>
      </x:c>
      <x:c r="E38" s="68" t="n">
        <x:v>28</x:v>
      </x:c>
      <x:c r="F38" s="68" t="n">
        <x:v>75</x:v>
      </x:c>
      <x:c r="G38" s="68" t="n">
        <x:v>103</x:v>
      </x:c>
      <x:c r="H38" s="82" t="n">
        <x:v>1178.06667</x:v>
      </x:c>
      <x:c r="I38" s="82" t="n">
        <x:v>315.223441</x:v>
      </x:c>
      <x:c r="J38" s="82" t="n">
        <x:v>671.717569</x:v>
      </x:c>
      <x:c r="K38" s="68" t="n">
        <x:f>E38-D38</x:f>
        <x:v>-16</x:v>
      </x:c>
      <x:c r="L38" s="68" t="n">
        <x:f>ABS(K38)</x:f>
        <x:v>16</x:v>
      </x:c>
    </x:row>
    <x:row r="39" ht="22" customHeight="1">
      <x:c r="A39" s="68" t="str">
        <x:v>DOWN</x:v>
      </x:c>
      <x:c r="B39" s="68" t="str">
        <x:v>2026-02-14</x:v>
      </x:c>
      <x:c r="C39" s="68" t="n">
        <x:v>13</x:v>
      </x:c>
      <x:c r="D39" s="68" t="n">
        <x:v>41</x:v>
      </x:c>
      <x:c r="E39" s="68" t="n">
        <x:v>27</x:v>
      </x:c>
      <x:c r="F39" s="68" t="n">
        <x:v>67</x:v>
      </x:c>
      <x:c r="G39" s="68" t="n">
        <x:v>94</x:v>
      </x:c>
      <x:c r="H39" s="82" t="n">
        <x:v>1177.91666</x:v>
      </x:c>
      <x:c r="I39" s="82" t="n">
        <x:v>372.507758</x:v>
      </x:c>
      <x:c r="J39" s="82" t="n">
        <x:v>580.619663</x:v>
      </x:c>
      <x:c r="K39" s="68" t="n">
        <x:f>E39-D39</x:f>
        <x:v>-14</x:v>
      </x:c>
      <x:c r="L39" s="68" t="n">
        <x:f>ABS(K39)</x:f>
        <x:v>14</x:v>
      </x:c>
    </x:row>
    <x:row r="40" ht="22" customHeight="1">
      <x:c r="A40" s="68" t="str">
        <x:v>DOWN</x:v>
      </x:c>
      <x:c r="B40" s="68" t="str">
        <x:v>2026-02-14</x:v>
      </x:c>
      <x:c r="C40" s="68" t="n">
        <x:v>14</x:v>
      </x:c>
      <x:c r="D40" s="68" t="n">
        <x:v>40</x:v>
      </x:c>
      <x:c r="E40" s="68" t="n">
        <x:v>30</x:v>
      </x:c>
      <x:c r="F40" s="68" t="n">
        <x:v>66</x:v>
      </x:c>
      <x:c r="G40" s="68" t="n">
        <x:v>96</x:v>
      </x:c>
      <x:c r="H40" s="82" t="n">
        <x:v>1146.35</x:v>
      </x:c>
      <x:c r="I40" s="82" t="n">
        <x:v>432.815732</x:v>
      </x:c>
      <x:c r="J40" s="82" t="n">
        <x:v>710.479818</x:v>
      </x:c>
      <x:c r="K40" s="68" t="n">
        <x:f>E40-D40</x:f>
        <x:v>-10</x:v>
      </x:c>
      <x:c r="L40" s="68" t="n">
        <x:f>ABS(K40)</x:f>
        <x:v>10</x:v>
      </x:c>
    </x:row>
    <x:row r="41" ht="22" customHeight="1">
      <x:c r="A41" s="68" t="str">
        <x:v>DOWN</x:v>
      </x:c>
      <x:c r="B41" s="68" t="str">
        <x:v>2026-02-14</x:v>
      </x:c>
      <x:c r="C41" s="68" t="n">
        <x:v>15</x:v>
      </x:c>
      <x:c r="D41" s="68" t="n">
        <x:v>32</x:v>
      </x:c>
      <x:c r="E41" s="68" t="n">
        <x:v>30</x:v>
      </x:c>
      <x:c r="F41" s="68" t="n">
        <x:v>63</x:v>
      </x:c>
      <x:c r="G41" s="68" t="n">
        <x:v>93</x:v>
      </x:c>
      <x:c r="H41" s="82" t="n">
        <x:v>756.91666</x:v>
      </x:c>
      <x:c r="I41" s="82" t="n">
        <x:v>459.97792</x:v>
      </x:c>
      <x:c r="J41" s="82" t="n">
        <x:v>596.469883</x:v>
      </x:c>
      <x:c r="K41" s="68" t="n">
        <x:f>E41-D41</x:f>
        <x:v>-2</x:v>
      </x:c>
      <x:c r="L41" s="68" t="n">
        <x:f>ABS(K41)</x:f>
        <x:v>2</x:v>
      </x:c>
    </x:row>
    <x:row r="42" ht="22" customHeight="1">
      <x:c r="A42" s="68" t="str">
        <x:v>DOWN</x:v>
      </x:c>
      <x:c r="B42" s="68" t="str">
        <x:v>2026-02-14</x:v>
      </x:c>
      <x:c r="C42" s="68" t="n">
        <x:v>16</x:v>
      </x:c>
      <x:c r="D42" s="68" t="n">
        <x:v>38</x:v>
      </x:c>
      <x:c r="E42" s="68" t="n">
        <x:v>34</x:v>
      </x:c>
      <x:c r="F42" s="68" t="n">
        <x:v>58</x:v>
      </x:c>
      <x:c r="G42" s="68" t="n">
        <x:v>92</x:v>
      </x:c>
      <x:c r="H42" s="82" t="n">
        <x:v>950.05001</x:v>
      </x:c>
      <x:c r="I42" s="82" t="n">
        <x:v>415.798725</x:v>
      </x:c>
      <x:c r="J42" s="82" t="n">
        <x:v>637.784136</x:v>
      </x:c>
      <x:c r="K42" s="68" t="n">
        <x:f>E42-D42</x:f>
        <x:v>-4</x:v>
      </x:c>
      <x:c r="L42" s="68" t="n">
        <x:f>ABS(K42)</x:f>
        <x:v>4</x:v>
      </x:c>
    </x:row>
    <x:row r="43" ht="22" customHeight="1">
      <x:c r="A43" s="68" t="str">
        <x:v>DOWN</x:v>
      </x:c>
      <x:c r="B43" s="68" t="str">
        <x:v>2026-02-14</x:v>
      </x:c>
      <x:c r="C43" s="68" t="n">
        <x:v>17</x:v>
      </x:c>
      <x:c r="D43" s="68" t="n">
        <x:v>34</x:v>
      </x:c>
      <x:c r="E43" s="68" t="n">
        <x:v>34</x:v>
      </x:c>
      <x:c r="F43" s="68" t="n">
        <x:v>65</x:v>
      </x:c>
      <x:c r="G43" s="68" t="n">
        <x:v>99</x:v>
      </x:c>
      <x:c r="H43" s="82" t="n">
        <x:v>810.53334</x:v>
      </x:c>
      <x:c r="I43" s="82" t="n">
        <x:v>540.616743</x:v>
      </x:c>
      <x:c r="J43" s="82" t="n">
        <x:v>644.469287</x:v>
      </x:c>
      <x:c r="K43" s="68" t="n">
        <x:f>E43-D43</x:f>
        <x:v>0</x:v>
      </x:c>
      <x:c r="L43" s="68" t="n">
        <x:f>ABS(K43)</x:f>
        <x:v>0</x:v>
      </x:c>
    </x:row>
    <x:row r="44" ht="22" customHeight="1">
      <x:c r="A44" s="68" t="str">
        <x:v>DOWN</x:v>
      </x:c>
      <x:c r="B44" s="68" t="str">
        <x:v>2026-02-14</x:v>
      </x:c>
      <x:c r="C44" s="68" t="n">
        <x:v>18</x:v>
      </x:c>
      <x:c r="D44" s="68" t="n">
        <x:v>38</x:v>
      </x:c>
      <x:c r="E44" s="68" t="n">
        <x:v>24</x:v>
      </x:c>
      <x:c r="F44" s="68" t="n">
        <x:v>66</x:v>
      </x:c>
      <x:c r="G44" s="68" t="n">
        <x:v>90</x:v>
      </x:c>
      <x:c r="H44" s="82" t="n">
        <x:v>874.90001</x:v>
      </x:c>
      <x:c r="I44" s="82" t="n">
        <x:v>390.465513</x:v>
      </x:c>
      <x:c r="J44" s="82" t="n">
        <x:v>614.141242</x:v>
      </x:c>
      <x:c r="K44" s="68" t="n">
        <x:f>E44-D44</x:f>
        <x:v>-14</x:v>
      </x:c>
      <x:c r="L44" s="68" t="n">
        <x:f>ABS(K44)</x:f>
        <x:v>14</x:v>
      </x:c>
    </x:row>
    <x:row r="45" ht="22" customHeight="1">
      <x:c r="A45" s="68" t="str">
        <x:v>DOWN</x:v>
      </x:c>
      <x:c r="B45" s="68" t="str">
        <x:v>2026-02-14</x:v>
      </x:c>
      <x:c r="C45" s="68" t="n">
        <x:v>19</x:v>
      </x:c>
      <x:c r="D45" s="68" t="n">
        <x:v>27</x:v>
      </x:c>
      <x:c r="E45" s="68" t="n">
        <x:v>20</x:v>
      </x:c>
      <x:c r="F45" s="68" t="n">
        <x:v>50</x:v>
      </x:c>
      <x:c r="G45" s="68" t="n">
        <x:v>70</x:v>
      </x:c>
      <x:c r="H45" s="82" t="n">
        <x:v>709.93333</x:v>
      </x:c>
      <x:c r="I45" s="82" t="n">
        <x:v>341.107793</x:v>
      </x:c>
      <x:c r="J45" s="82" t="n">
        <x:v>436.589933</x:v>
      </x:c>
      <x:c r="K45" s="68" t="n">
        <x:f>E45-D45</x:f>
        <x:v>-7</x:v>
      </x:c>
      <x:c r="L45" s="68" t="n">
        <x:f>ABS(K45)</x:f>
        <x:v>7</x:v>
      </x:c>
    </x:row>
    <x:row r="46" ht="22" customHeight="1">
      <x:c r="A46" s="68" t="str">
        <x:v>DOWN</x:v>
      </x:c>
      <x:c r="B46" s="68" t="str">
        <x:v>2026-02-14</x:v>
      </x:c>
      <x:c r="C46" s="68" t="n">
        <x:v>20</x:v>
      </x:c>
      <x:c r="D46" s="68" t="n">
        <x:v>20</x:v>
      </x:c>
      <x:c r="E46" s="68" t="n">
        <x:v>22</x:v>
      </x:c>
      <x:c r="F46" s="68" t="n">
        <x:v>44</x:v>
      </x:c>
      <x:c r="G46" s="68" t="n">
        <x:v>66</x:v>
      </x:c>
      <x:c r="H46" s="82" t="n">
        <x:v>536.68335</x:v>
      </x:c>
      <x:c r="I46" s="82" t="n">
        <x:v>332.445394</x:v>
      </x:c>
      <x:c r="J46" s="82" t="n">
        <x:v>423.147875</x:v>
      </x:c>
      <x:c r="K46" s="68" t="n">
        <x:f>E46-D46</x:f>
        <x:v>2</x:v>
      </x:c>
      <x:c r="L46" s="68" t="n">
        <x:f>ABS(K46)</x:f>
        <x:v>2</x:v>
      </x:c>
    </x:row>
    <x:row r="47" ht="22" customHeight="1">
      <x:c r="A47" s="68" t="str">
        <x:v>DOWN</x:v>
      </x:c>
      <x:c r="B47" s="68" t="str">
        <x:v>2026-02-14</x:v>
      </x:c>
      <x:c r="C47" s="68" t="n">
        <x:v>21</x:v>
      </x:c>
      <x:c r="D47" s="68" t="n">
        <x:v>19</x:v>
      </x:c>
      <x:c r="E47" s="68" t="n">
        <x:v>15</x:v>
      </x:c>
      <x:c r="F47" s="68" t="n">
        <x:v>44</x:v>
      </x:c>
      <x:c r="G47" s="68" t="n">
        <x:v>59</x:v>
      </x:c>
      <x:c r="H47" s="82" t="n">
        <x:v>462.54999</x:v>
      </x:c>
      <x:c r="I47" s="82" t="n">
        <x:v>187.600586</x:v>
      </x:c>
      <x:c r="J47" s="82" t="n">
        <x:v>396.59263</x:v>
      </x:c>
      <x:c r="K47" s="68" t="n">
        <x:f>E47-D47</x:f>
        <x:v>-4</x:v>
      </x:c>
      <x:c r="L47" s="68" t="n">
        <x:f>ABS(K47)</x:f>
        <x:v>4</x:v>
      </x:c>
    </x:row>
    <x:row r="48" ht="22" customHeight="1">
      <x:c r="A48" s="68" t="str">
        <x:v>DOWN</x:v>
      </x:c>
      <x:c r="B48" s="68" t="str">
        <x:v>2026-02-14</x:v>
      </x:c>
      <x:c r="C48" s="68" t="n">
        <x:v>22</x:v>
      </x:c>
      <x:c r="D48" s="68" t="n">
        <x:v>19</x:v>
      </x:c>
      <x:c r="E48" s="68" t="n">
        <x:v>12</x:v>
      </x:c>
      <x:c r="F48" s="68" t="n">
        <x:v>38</x:v>
      </x:c>
      <x:c r="G48" s="68" t="n">
        <x:v>50</x:v>
      </x:c>
      <x:c r="H48" s="82" t="n">
        <x:v>570.95</x:v>
      </x:c>
      <x:c r="I48" s="82" t="n">
        <x:v>157.925778</x:v>
      </x:c>
      <x:c r="J48" s="82" t="n">
        <x:v>285.753727</x:v>
      </x:c>
      <x:c r="K48" s="68" t="n">
        <x:f>E48-D48</x:f>
        <x:v>-7</x:v>
      </x:c>
      <x:c r="L48" s="68" t="n">
        <x:f>ABS(K48)</x:f>
        <x:v>7</x:v>
      </x:c>
    </x:row>
    <x:row r="49" ht="22" customHeight="1">
      <x:c r="A49" s="68" t="str">
        <x:v>DOWN</x:v>
      </x:c>
      <x:c r="B49" s="68" t="str">
        <x:v>2026-02-14</x:v>
      </x:c>
      <x:c r="C49" s="68" t="n">
        <x:v>23</x:v>
      </x:c>
      <x:c r="D49" s="68" t="n">
        <x:v>21</x:v>
      </x:c>
      <x:c r="E49" s="68" t="n">
        <x:v>11</x:v>
      </x:c>
      <x:c r="F49" s="68" t="n">
        <x:v>40</x:v>
      </x:c>
      <x:c r="G49" s="68" t="n">
        <x:v>51</x:v>
      </x:c>
      <x:c r="H49" s="82" t="n">
        <x:v>460.6</x:v>
      </x:c>
      <x:c r="I49" s="82" t="n">
        <x:v>129.84111</x:v>
      </x:c>
      <x:c r="J49" s="82" t="n">
        <x:v>227.403704</x:v>
      </x:c>
      <x:c r="K49" s="68" t="n">
        <x:f>E49-D49</x:f>
        <x:v>-10</x:v>
      </x:c>
      <x:c r="L49" s="68" t="n">
        <x:f>ABS(K49)</x:f>
        <x:v>10</x:v>
      </x:c>
    </x:row>
    <x:row r="50" ht="22" customHeight="1">
      <x:c r="A50" s="68" t="str">
        <x:v>DOWN</x:v>
      </x:c>
      <x:c r="B50" s="68" t="str">
        <x:v>2026-02-15</x:v>
      </x:c>
      <x:c r="C50" s="68" t="n">
        <x:v>0</x:v>
      </x:c>
      <x:c r="D50" s="68" t="n">
        <x:v>10</x:v>
      </x:c>
      <x:c r="E50" s="68" t="n">
        <x:v>0</x:v>
      </x:c>
      <x:c r="F50" s="68" t="n">
        <x:v>20</x:v>
      </x:c>
      <x:c r="G50" s="68" t="n">
        <x:v>20</x:v>
      </x:c>
      <x:c r="H50" s="82" t="n">
        <x:v>276.68333</x:v>
      </x:c>
      <x:c r="I50" s="82" t="n">
        <x:v>0</x:v>
      </x:c>
      <x:c r="J50" s="82" t="n">
        <x:v>107.003738</x:v>
      </x:c>
      <x:c r="K50" s="68" t="n">
        <x:f>E50-D50</x:f>
        <x:v>-10</x:v>
      </x:c>
      <x:c r="L50" s="68" t="n">
        <x:f>ABS(K50)</x:f>
        <x:v>10</x:v>
      </x:c>
    </x:row>
    <x:row r="51" ht="22" customHeight="1">
      <x:c r="A51" s="68" t="str">
        <x:v>DOWN</x:v>
      </x:c>
      <x:c r="B51" s="68" t="str">
        <x:v>2026-02-15</x:v>
      </x:c>
      <x:c r="C51" s="68" t="n">
        <x:v>1</x:v>
      </x:c>
      <x:c r="D51" s="68" t="n">
        <x:v>14</x:v>
      </x:c>
      <x:c r="E51" s="68" t="n">
        <x:v>6</x:v>
      </x:c>
      <x:c r="F51" s="68" t="n">
        <x:v>15</x:v>
      </x:c>
      <x:c r="G51" s="68" t="n">
        <x:v>21</x:v>
      </x:c>
      <x:c r="H51" s="82" t="n">
        <x:v>388.06667</x:v>
      </x:c>
      <x:c r="I51" s="82" t="n">
        <x:v>35.924959</x:v>
      </x:c>
      <x:c r="J51" s="82" t="n">
        <x:v>68.720012</x:v>
      </x:c>
      <x:c r="K51" s="68" t="n">
        <x:f>E51-D51</x:f>
        <x:v>-8</x:v>
      </x:c>
      <x:c r="L51" s="68" t="n">
        <x:f>ABS(K51)</x:f>
        <x:v>8</x:v>
      </x:c>
    </x:row>
    <x:row r="52" ht="22" customHeight="1">
      <x:c r="A52" s="68" t="str">
        <x:v>DOWN</x:v>
      </x:c>
      <x:c r="B52" s="68" t="str">
        <x:v>2026-02-15</x:v>
      </x:c>
      <x:c r="C52" s="68" t="n">
        <x:v>2</x:v>
      </x:c>
      <x:c r="D52" s="68" t="n">
        <x:v>10</x:v>
      </x:c>
      <x:c r="E52" s="68" t="n">
        <x:v>5</x:v>
      </x:c>
      <x:c r="F52" s="68" t="n">
        <x:v>17</x:v>
      </x:c>
      <x:c r="G52" s="68" t="n">
        <x:v>22</x:v>
      </x:c>
      <x:c r="H52" s="82" t="n">
        <x:v>303.15001</x:v>
      </x:c>
      <x:c r="I52" s="82" t="n">
        <x:v>53.755029</x:v>
      </x:c>
      <x:c r="J52" s="82" t="n">
        <x:v>99.767476</x:v>
      </x:c>
      <x:c r="K52" s="68" t="n">
        <x:f>E52-D52</x:f>
        <x:v>-5</x:v>
      </x:c>
      <x:c r="L52" s="68" t="n">
        <x:f>ABS(K52)</x:f>
        <x:v>5</x:v>
      </x:c>
    </x:row>
    <x:row r="53" ht="22" customHeight="1">
      <x:c r="A53" s="68" t="str">
        <x:v>DOWN</x:v>
      </x:c>
      <x:c r="B53" s="68" t="str">
        <x:v>2026-02-15</x:v>
      </x:c>
      <x:c r="C53" s="68" t="n">
        <x:v>3</x:v>
      </x:c>
      <x:c r="D53" s="68" t="n">
        <x:v>6</x:v>
      </x:c>
      <x:c r="E53" s="68" t="n">
        <x:v>3</x:v>
      </x:c>
      <x:c r="F53" s="68" t="n">
        <x:v>19</x:v>
      </x:c>
      <x:c r="G53" s="68" t="n">
        <x:v>22</x:v>
      </x:c>
      <x:c r="H53" s="82" t="n">
        <x:v>126.26667</x:v>
      </x:c>
      <x:c r="I53" s="82" t="n">
        <x:v>39.880153</x:v>
      </x:c>
      <x:c r="J53" s="82" t="n">
        <x:v>124.047953</x:v>
      </x:c>
      <x:c r="K53" s="68" t="n">
        <x:f>E53-D53</x:f>
        <x:v>-3</x:v>
      </x:c>
      <x:c r="L53" s="68" t="n">
        <x:f>ABS(K53)</x:f>
        <x:v>3</x:v>
      </x:c>
    </x:row>
    <x:row r="54" ht="22" customHeight="1">
      <x:c r="A54" s="68" t="str">
        <x:v>DOWN</x:v>
      </x:c>
      <x:c r="B54" s="68" t="str">
        <x:v>2026-02-15</x:v>
      </x:c>
      <x:c r="C54" s="68" t="n">
        <x:v>4</x:v>
      </x:c>
      <x:c r="D54" s="68" t="n">
        <x:v>11</x:v>
      </x:c>
      <x:c r="E54" s="68" t="n">
        <x:v>5</x:v>
      </x:c>
      <x:c r="F54" s="68" t="n">
        <x:v>29</x:v>
      </x:c>
      <x:c r="G54" s="68" t="n">
        <x:v>34</x:v>
      </x:c>
      <x:c r="H54" s="82" t="n">
        <x:v>325.98334</x:v>
      </x:c>
      <x:c r="I54" s="82" t="n">
        <x:v>15.665737</x:v>
      </x:c>
      <x:c r="J54" s="82" t="n">
        <x:v>160.99528</x:v>
      </x:c>
      <x:c r="K54" s="68" t="n">
        <x:f>E54-D54</x:f>
        <x:v>-6</x:v>
      </x:c>
      <x:c r="L54" s="68" t="n">
        <x:f>ABS(K54)</x:f>
        <x:v>6</x:v>
      </x:c>
    </x:row>
    <x:row r="55" ht="22" customHeight="1">
      <x:c r="A55" s="68" t="str">
        <x:v>DOWN</x:v>
      </x:c>
      <x:c r="B55" s="68" t="str">
        <x:v>2026-02-15</x:v>
      </x:c>
      <x:c r="C55" s="68" t="n">
        <x:v>5</x:v>
      </x:c>
      <x:c r="D55" s="68" t="n">
        <x:v>15</x:v>
      </x:c>
      <x:c r="E55" s="68" t="n">
        <x:v>3</x:v>
      </x:c>
      <x:c r="F55" s="68" t="n">
        <x:v>24</x:v>
      </x:c>
      <x:c r="G55" s="68" t="n">
        <x:v>27</x:v>
      </x:c>
      <x:c r="H55" s="82" t="n">
        <x:v>478.2</x:v>
      </x:c>
      <x:c r="I55" s="82" t="n">
        <x:v>31.958252</x:v>
      </x:c>
      <x:c r="J55" s="82" t="n">
        <x:v>148.245145</x:v>
      </x:c>
      <x:c r="K55" s="68" t="n">
        <x:f>E55-D55</x:f>
        <x:v>-12</x:v>
      </x:c>
      <x:c r="L55" s="68" t="n">
        <x:f>ABS(K55)</x:f>
        <x:v>12</x:v>
      </x:c>
    </x:row>
    <x:row r="56" ht="22" customHeight="1">
      <x:c r="A56" s="68" t="str">
        <x:v>DOWN</x:v>
      </x:c>
      <x:c r="B56" s="68" t="str">
        <x:v>2026-02-15</x:v>
      </x:c>
      <x:c r="C56" s="68" t="n">
        <x:v>6</x:v>
      </x:c>
      <x:c r="D56" s="68" t="n">
        <x:v>15</x:v>
      </x:c>
      <x:c r="E56" s="68" t="n">
        <x:v>4</x:v>
      </x:c>
      <x:c r="F56" s="68" t="n">
        <x:v>52</x:v>
      </x:c>
      <x:c r="G56" s="68" t="n">
        <x:v>56</x:v>
      </x:c>
      <x:c r="H56" s="82" t="n">
        <x:v>459.75</x:v>
      </x:c>
      <x:c r="I56" s="82" t="n">
        <x:v>79.605087</x:v>
      </x:c>
      <x:c r="J56" s="82" t="n">
        <x:v>405.08143</x:v>
      </x:c>
      <x:c r="K56" s="68" t="n">
        <x:f>E56-D56</x:f>
        <x:v>-11</x:v>
      </x:c>
      <x:c r="L56" s="68" t="n">
        <x:f>ABS(K56)</x:f>
        <x:v>11</x:v>
      </x:c>
    </x:row>
    <x:row r="57" ht="22" customHeight="1">
      <x:c r="A57" s="68" t="str">
        <x:v>DOWN</x:v>
      </x:c>
      <x:c r="B57" s="68" t="str">
        <x:v>2026-02-15</x:v>
      </x:c>
      <x:c r="C57" s="68" t="n">
        <x:v>7</x:v>
      </x:c>
      <x:c r="D57" s="68" t="n">
        <x:v>23</x:v>
      </x:c>
      <x:c r="E57" s="68" t="n">
        <x:v>5</x:v>
      </x:c>
      <x:c r="F57" s="68" t="n">
        <x:v>35</x:v>
      </x:c>
      <x:c r="G57" s="68" t="n">
        <x:v>40</x:v>
      </x:c>
      <x:c r="H57" s="82" t="n">
        <x:v>675.69999</x:v>
      </x:c>
      <x:c r="I57" s="82" t="n">
        <x:v>53.618169</x:v>
      </x:c>
      <x:c r="J57" s="82" t="n">
        <x:v>213.315299</x:v>
      </x:c>
      <x:c r="K57" s="68" t="n">
        <x:f>E57-D57</x:f>
        <x:v>-18</x:v>
      </x:c>
      <x:c r="L57" s="68" t="n">
        <x:f>ABS(K57)</x:f>
        <x:v>18</x:v>
      </x:c>
    </x:row>
    <x:row r="58" ht="22" customHeight="1">
      <x:c r="A58" s="68" t="str">
        <x:v>DOWN</x:v>
      </x:c>
      <x:c r="B58" s="68" t="str">
        <x:v>2026-02-15</x:v>
      </x:c>
      <x:c r="C58" s="68" t="n">
        <x:v>8</x:v>
      </x:c>
      <x:c r="D58" s="68" t="n">
        <x:v>43</x:v>
      </x:c>
      <x:c r="E58" s="68" t="n">
        <x:v>13</x:v>
      </x:c>
      <x:c r="F58" s="68" t="n">
        <x:v>54</x:v>
      </x:c>
      <x:c r="G58" s="68" t="n">
        <x:v>67</x:v>
      </x:c>
      <x:c r="H58" s="82" t="n">
        <x:v>899.38333</x:v>
      </x:c>
      <x:c r="I58" s="82" t="n">
        <x:v>109.660162</x:v>
      </x:c>
      <x:c r="J58" s="82" t="n">
        <x:v>299.801263</x:v>
      </x:c>
      <x:c r="K58" s="68" t="n">
        <x:f>E58-D58</x:f>
        <x:v>-30</x:v>
      </x:c>
      <x:c r="L58" s="68" t="n">
        <x:f>ABS(K58)</x:f>
        <x:v>30</x:v>
      </x:c>
    </x:row>
    <x:row r="59" ht="22" customHeight="1">
      <x:c r="A59" s="68" t="str">
        <x:v>DOWN</x:v>
      </x:c>
      <x:c r="B59" s="68" t="str">
        <x:v>2026-02-15</x:v>
      </x:c>
      <x:c r="C59" s="68" t="n">
        <x:v>9</x:v>
      </x:c>
      <x:c r="D59" s="68" t="n">
        <x:v>33</x:v>
      </x:c>
      <x:c r="E59" s="68" t="n">
        <x:v>13</x:v>
      </x:c>
      <x:c r="F59" s="68" t="n">
        <x:v>52</x:v>
      </x:c>
      <x:c r="G59" s="68" t="n">
        <x:v>65</x:v>
      </x:c>
      <x:c r="H59" s="82" t="n">
        <x:v>1102.51666</x:v>
      </x:c>
      <x:c r="I59" s="82" t="n">
        <x:v>149.846555</x:v>
      </x:c>
      <x:c r="J59" s="82" t="n">
        <x:v>433.246475</x:v>
      </x:c>
      <x:c r="K59" s="68" t="n">
        <x:f>E59-D59</x:f>
        <x:v>-20</x:v>
      </x:c>
      <x:c r="L59" s="68" t="n">
        <x:f>ABS(K59)</x:f>
        <x:v>20</x:v>
      </x:c>
    </x:row>
    <x:row r="60" ht="22" customHeight="1">
      <x:c r="A60" s="68" t="str">
        <x:v>DOWN</x:v>
      </x:c>
      <x:c r="B60" s="68" t="str">
        <x:v>2026-02-15</x:v>
      </x:c>
      <x:c r="C60" s="68" t="n">
        <x:v>10</x:v>
      </x:c>
      <x:c r="D60" s="68" t="n">
        <x:v>33</x:v>
      </x:c>
      <x:c r="E60" s="68" t="n">
        <x:v>22</x:v>
      </x:c>
      <x:c r="F60" s="68" t="n">
        <x:v>66</x:v>
      </x:c>
      <x:c r="G60" s="68" t="n">
        <x:v>88</x:v>
      </x:c>
      <x:c r="H60" s="82" t="n">
        <x:v>973.41665</x:v>
      </x:c>
      <x:c r="I60" s="82" t="n">
        <x:v>229.677267</x:v>
      </x:c>
      <x:c r="J60" s="82" t="n">
        <x:v>523.048946</x:v>
      </x:c>
      <x:c r="K60" s="68" t="n">
        <x:f>E60-D60</x:f>
        <x:v>-11</x:v>
      </x:c>
      <x:c r="L60" s="68" t="n">
        <x:f>ABS(K60)</x:f>
        <x:v>11</x:v>
      </x:c>
    </x:row>
    <x:row r="61" ht="22" customHeight="1">
      <x:c r="A61" s="68" t="str">
        <x:v>DOWN</x:v>
      </x:c>
      <x:c r="B61" s="68" t="str">
        <x:v>2026-02-15</x:v>
      </x:c>
      <x:c r="C61" s="68" t="n">
        <x:v>11</x:v>
      </x:c>
      <x:c r="D61" s="68" t="n">
        <x:v>39</x:v>
      </x:c>
      <x:c r="E61" s="68" t="n">
        <x:v>35</x:v>
      </x:c>
      <x:c r="F61" s="68" t="n">
        <x:v>70</x:v>
      </x:c>
      <x:c r="G61" s="68" t="n">
        <x:v>105</x:v>
      </x:c>
      <x:c r="H61" s="82" t="n">
        <x:v>907.95</x:v>
      </x:c>
      <x:c r="I61" s="82" t="n">
        <x:v>285.403505</x:v>
      </x:c>
      <x:c r="J61" s="82" t="n">
        <x:v>554.265147</x:v>
      </x:c>
      <x:c r="K61" s="68" t="n">
        <x:f>E61-D61</x:f>
        <x:v>-4</x:v>
      </x:c>
      <x:c r="L61" s="68" t="n">
        <x:f>ABS(K61)</x:f>
        <x:v>4</x:v>
      </x:c>
    </x:row>
    <x:row r="62" ht="22" customHeight="1">
      <x:c r="A62" s="68" t="str">
        <x:v>DOWN</x:v>
      </x:c>
      <x:c r="B62" s="68" t="str">
        <x:v>2026-02-15</x:v>
      </x:c>
      <x:c r="C62" s="68" t="n">
        <x:v>12</x:v>
      </x:c>
      <x:c r="D62" s="68" t="n">
        <x:v>45</x:v>
      </x:c>
      <x:c r="E62" s="68" t="n">
        <x:v>30</x:v>
      </x:c>
      <x:c r="F62" s="68" t="n">
        <x:v>58</x:v>
      </x:c>
      <x:c r="G62" s="68" t="n">
        <x:v>88</x:v>
      </x:c>
      <x:c r="H62" s="82" t="n">
        <x:v>1167.25</x:v>
      </x:c>
      <x:c r="I62" s="82" t="n">
        <x:v>443.665313</x:v>
      </x:c>
      <x:c r="J62" s="82" t="n">
        <x:v>458.690524</x:v>
      </x:c>
      <x:c r="K62" s="68" t="n">
        <x:f>E62-D62</x:f>
        <x:v>-15</x:v>
      </x:c>
      <x:c r="L62" s="68" t="n">
        <x:f>ABS(K62)</x:f>
        <x:v>15</x:v>
      </x:c>
    </x:row>
    <x:row r="63" ht="22" customHeight="1">
      <x:c r="A63" s="68" t="str">
        <x:v>DOWN</x:v>
      </x:c>
      <x:c r="B63" s="68" t="str">
        <x:v>2026-02-15</x:v>
      </x:c>
      <x:c r="C63" s="68" t="n">
        <x:v>13</x:v>
      </x:c>
      <x:c r="D63" s="68" t="n">
        <x:v>47</x:v>
      </x:c>
      <x:c r="E63" s="68" t="n">
        <x:v>28</x:v>
      </x:c>
      <x:c r="F63" s="68" t="n">
        <x:v>65</x:v>
      </x:c>
      <x:c r="G63" s="68" t="n">
        <x:v>93</x:v>
      </x:c>
      <x:c r="H63" s="82" t="n">
        <x:v>1416.71666</x:v>
      </x:c>
      <x:c r="I63" s="82" t="n">
        <x:v>443.231756</x:v>
      </x:c>
      <x:c r="J63" s="82" t="n">
        <x:v>559.367937</x:v>
      </x:c>
      <x:c r="K63" s="68" t="n">
        <x:f>E63-D63</x:f>
        <x:v>-19</x:v>
      </x:c>
      <x:c r="L63" s="68" t="n">
        <x:f>ABS(K63)</x:f>
        <x:v>19</x:v>
      </x:c>
    </x:row>
    <x:row r="64" ht="22" customHeight="1">
      <x:c r="A64" s="68" t="str">
        <x:v>DOWN</x:v>
      </x:c>
      <x:c r="B64" s="68" t="str">
        <x:v>2026-02-15</x:v>
      </x:c>
      <x:c r="C64" s="68" t="n">
        <x:v>14</x:v>
      </x:c>
      <x:c r="D64" s="68" t="n">
        <x:v>42</x:v>
      </x:c>
      <x:c r="E64" s="68" t="n">
        <x:v>31</x:v>
      </x:c>
      <x:c r="F64" s="68" t="n">
        <x:v>63</x:v>
      </x:c>
      <x:c r="G64" s="68" t="n">
        <x:v>94</x:v>
      </x:c>
      <x:c r="H64" s="82" t="n">
        <x:v>1081.64998</x:v>
      </x:c>
      <x:c r="I64" s="82" t="n">
        <x:v>443.64436</x:v>
      </x:c>
      <x:c r="J64" s="82" t="n">
        <x:v>698.532692</x:v>
      </x:c>
      <x:c r="K64" s="68" t="n">
        <x:f>E64-D64</x:f>
        <x:v>-11</x:v>
      </x:c>
      <x:c r="L64" s="68" t="n">
        <x:f>ABS(K64)</x:f>
        <x:v>11</x:v>
      </x:c>
    </x:row>
    <x:row r="65" ht="22" customHeight="1">
      <x:c r="A65" s="68" t="str">
        <x:v>DOWN</x:v>
      </x:c>
      <x:c r="B65" s="68" t="str">
        <x:v>2026-02-15</x:v>
      </x:c>
      <x:c r="C65" s="68" t="n">
        <x:v>15</x:v>
      </x:c>
      <x:c r="D65" s="68" t="n">
        <x:v>34</x:v>
      </x:c>
      <x:c r="E65" s="68" t="n">
        <x:v>28</x:v>
      </x:c>
      <x:c r="F65" s="68" t="n">
        <x:v>62</x:v>
      </x:c>
      <x:c r="G65" s="68" t="n">
        <x:v>90</x:v>
      </x:c>
      <x:c r="H65" s="82" t="n">
        <x:v>1123.79999</x:v>
      </x:c>
      <x:c r="I65" s="82" t="n">
        <x:v>372.29243</x:v>
      </x:c>
      <x:c r="J65" s="82" t="n">
        <x:v>581.146866</x:v>
      </x:c>
      <x:c r="K65" s="68" t="n">
        <x:f>E65-D65</x:f>
        <x:v>-6</x:v>
      </x:c>
      <x:c r="L65" s="68" t="n">
        <x:f>ABS(K65)</x:f>
        <x:v>6</x:v>
      </x:c>
    </x:row>
    <x:row r="66" ht="22" customHeight="1">
      <x:c r="A66" s="68" t="str">
        <x:v>DOWN</x:v>
      </x:c>
      <x:c r="B66" s="68" t="str">
        <x:v>2026-02-15</x:v>
      </x:c>
      <x:c r="C66" s="68" t="n">
        <x:v>16</x:v>
      </x:c>
      <x:c r="D66" s="68" t="n">
        <x:v>40</x:v>
      </x:c>
      <x:c r="E66" s="68" t="n">
        <x:v>30</x:v>
      </x:c>
      <x:c r="F66" s="68" t="n">
        <x:v>61</x:v>
      </x:c>
      <x:c r="G66" s="68" t="n">
        <x:v>91</x:v>
      </x:c>
      <x:c r="H66" s="82" t="n">
        <x:v>1060.56666</x:v>
      </x:c>
      <x:c r="I66" s="82" t="n">
        <x:v>604.044866</x:v>
      </x:c>
      <x:c r="J66" s="82" t="n">
        <x:v>738.020794</x:v>
      </x:c>
      <x:c r="K66" s="68" t="n">
        <x:f>E66-D66</x:f>
        <x:v>-10</x:v>
      </x:c>
      <x:c r="L66" s="68" t="n">
        <x:f>ABS(K66)</x:f>
        <x:v>10</x:v>
      </x:c>
    </x:row>
    <x:row r="67" ht="22" customHeight="1">
      <x:c r="A67" s="68" t="str">
        <x:v>DOWN</x:v>
      </x:c>
      <x:c r="B67" s="68" t="str">
        <x:v>2026-02-15</x:v>
      </x:c>
      <x:c r="C67" s="68" t="n">
        <x:v>17</x:v>
      </x:c>
      <x:c r="D67" s="68" t="n">
        <x:v>23</x:v>
      </x:c>
      <x:c r="E67" s="68" t="n">
        <x:v>24</x:v>
      </x:c>
      <x:c r="F67" s="68" t="n">
        <x:v>72</x:v>
      </x:c>
      <x:c r="G67" s="68" t="n">
        <x:v>96</x:v>
      </x:c>
      <x:c r="H67" s="82" t="n">
        <x:v>591.38334</x:v>
      </x:c>
      <x:c r="I67" s="82" t="n">
        <x:v>450.108773</x:v>
      </x:c>
      <x:c r="J67" s="82" t="n">
        <x:v>626.797502</x:v>
      </x:c>
      <x:c r="K67" s="68" t="n">
        <x:f>E67-D67</x:f>
        <x:v>1</x:v>
      </x:c>
      <x:c r="L67" s="68" t="n">
        <x:f>ABS(K67)</x:f>
        <x:v>1</x:v>
      </x:c>
    </x:row>
    <x:row r="68" ht="22" customHeight="1">
      <x:c r="A68" s="68" t="str">
        <x:v>DOWN</x:v>
      </x:c>
      <x:c r="B68" s="68" t="str">
        <x:v>2026-02-15</x:v>
      </x:c>
      <x:c r="C68" s="68" t="n">
        <x:v>18</x:v>
      </x:c>
      <x:c r="D68" s="68" t="n">
        <x:v>34</x:v>
      </x:c>
      <x:c r="E68" s="68" t="n">
        <x:v>33</x:v>
      </x:c>
      <x:c r="F68" s="68" t="n">
        <x:v>50</x:v>
      </x:c>
      <x:c r="G68" s="68" t="n">
        <x:v>83</x:v>
      </x:c>
      <x:c r="H68" s="82" t="n">
        <x:v>843.85001</x:v>
      </x:c>
      <x:c r="I68" s="82" t="n">
        <x:v>399.149954</x:v>
      </x:c>
      <x:c r="J68" s="82" t="n">
        <x:v>540.431458</x:v>
      </x:c>
      <x:c r="K68" s="68" t="n">
        <x:f>E68-D68</x:f>
        <x:v>-1</x:v>
      </x:c>
      <x:c r="L68" s="68" t="n">
        <x:f>ABS(K68)</x:f>
        <x:v>1</x:v>
      </x:c>
    </x:row>
    <x:row r="69" ht="22" customHeight="1">
      <x:c r="A69" s="68" t="str">
        <x:v>DOWN</x:v>
      </x:c>
      <x:c r="B69" s="68" t="str">
        <x:v>2026-02-15</x:v>
      </x:c>
      <x:c r="C69" s="68" t="n">
        <x:v>19</x:v>
      </x:c>
      <x:c r="D69" s="68" t="n">
        <x:v>37</x:v>
      </x:c>
      <x:c r="E69" s="68" t="n">
        <x:v>22</x:v>
      </x:c>
      <x:c r="F69" s="68" t="n">
        <x:v>66</x:v>
      </x:c>
      <x:c r="G69" s="68" t="n">
        <x:v>88</x:v>
      </x:c>
      <x:c r="H69" s="82" t="n">
        <x:v>1106.16667</x:v>
      </x:c>
      <x:c r="I69" s="82" t="n">
        <x:v>372.1744</x:v>
      </x:c>
      <x:c r="J69" s="82" t="n">
        <x:v>636.034092</x:v>
      </x:c>
      <x:c r="K69" s="68" t="n">
        <x:f>E69-D69</x:f>
        <x:v>-15</x:v>
      </x:c>
      <x:c r="L69" s="68" t="n">
        <x:f>ABS(K69)</x:f>
        <x:v>15</x:v>
      </x:c>
    </x:row>
    <x:row r="70" ht="22" customHeight="1">
      <x:c r="A70" s="68" t="str">
        <x:v>DOWN</x:v>
      </x:c>
      <x:c r="B70" s="68" t="str">
        <x:v>2026-02-15</x:v>
      </x:c>
      <x:c r="C70" s="68" t="n">
        <x:v>20</x:v>
      </x:c>
      <x:c r="D70" s="68" t="n">
        <x:v>14</x:v>
      </x:c>
      <x:c r="E70" s="68" t="n">
        <x:v>15</x:v>
      </x:c>
      <x:c r="F70" s="68" t="n">
        <x:v>52</x:v>
      </x:c>
      <x:c r="G70" s="68" t="n">
        <x:v>67</x:v>
      </x:c>
      <x:c r="H70" s="82" t="n">
        <x:v>465.73334</x:v>
      </x:c>
      <x:c r="I70" s="82" t="n">
        <x:v>243.325775</x:v>
      </x:c>
      <x:c r="J70" s="82" t="n">
        <x:v>544.816675</x:v>
      </x:c>
      <x:c r="K70" s="68" t="n">
        <x:f>E70-D70</x:f>
        <x:v>1</x:v>
      </x:c>
      <x:c r="L70" s="68" t="n">
        <x:f>ABS(K70)</x:f>
        <x:v>1</x:v>
      </x:c>
    </x:row>
    <x:row r="71" ht="22" customHeight="1">
      <x:c r="A71" s="68" t="str">
        <x:v>DOWN</x:v>
      </x:c>
      <x:c r="B71" s="68" t="str">
        <x:v>2026-02-15</x:v>
      </x:c>
      <x:c r="C71" s="68" t="n">
        <x:v>21</x:v>
      </x:c>
      <x:c r="D71" s="68" t="n">
        <x:v>18</x:v>
      </x:c>
      <x:c r="E71" s="68" t="n">
        <x:v>12</x:v>
      </x:c>
      <x:c r="F71" s="68" t="n">
        <x:v>49</x:v>
      </x:c>
      <x:c r="G71" s="68" t="n">
        <x:v>61</x:v>
      </x:c>
      <x:c r="H71" s="82" t="n">
        <x:v>486.58333</x:v>
      </x:c>
      <x:c r="I71" s="82" t="n">
        <x:v>203.625872</x:v>
      </x:c>
      <x:c r="J71" s="82" t="n">
        <x:v>421.071576</x:v>
      </x:c>
      <x:c r="K71" s="68" t="n">
        <x:f>E71-D71</x:f>
        <x:v>-6</x:v>
      </x:c>
      <x:c r="L71" s="68" t="n">
        <x:f>ABS(K71)</x:f>
        <x:v>6</x:v>
      </x:c>
    </x:row>
    <x:row r="72" ht="22" customHeight="1">
      <x:c r="A72" s="68" t="str">
        <x:v>DOWN</x:v>
      </x:c>
      <x:c r="B72" s="68" t="str">
        <x:v>2026-02-15</x:v>
      </x:c>
      <x:c r="C72" s="68" t="n">
        <x:v>22</x:v>
      </x:c>
      <x:c r="D72" s="68" t="n">
        <x:v>13</x:v>
      </x:c>
      <x:c r="E72" s="68" t="n">
        <x:v>18</x:v>
      </x:c>
      <x:c r="F72" s="68" t="n">
        <x:v>50</x:v>
      </x:c>
      <x:c r="G72" s="68" t="n">
        <x:v>68</x:v>
      </x:c>
      <x:c r="H72" s="82" t="n">
        <x:v>464.51668</x:v>
      </x:c>
      <x:c r="I72" s="82" t="n">
        <x:v>222.914174</x:v>
      </x:c>
      <x:c r="J72" s="82" t="n">
        <x:v>404.021123</x:v>
      </x:c>
      <x:c r="K72" s="68" t="n">
        <x:f>E72-D72</x:f>
        <x:v>5</x:v>
      </x:c>
      <x:c r="L72" s="68" t="n">
        <x:f>ABS(K72)</x:f>
        <x:v>5</x:v>
      </x:c>
    </x:row>
    <x:row r="73" ht="22" customHeight="1">
      <x:c r="A73" s="68" t="str">
        <x:v>DOWN</x:v>
      </x:c>
      <x:c r="B73" s="68" t="str">
        <x:v>2026-02-15</x:v>
      </x:c>
      <x:c r="C73" s="68" t="n">
        <x:v>23</x:v>
      </x:c>
      <x:c r="D73" s="68" t="n">
        <x:v>15</x:v>
      </x:c>
      <x:c r="E73" s="68" t="n">
        <x:v>11</x:v>
      </x:c>
      <x:c r="F73" s="68" t="n">
        <x:v>32</x:v>
      </x:c>
      <x:c r="G73" s="68" t="n">
        <x:v>43</x:v>
      </x:c>
      <x:c r="H73" s="82" t="n">
        <x:v>523.98333</x:v>
      </x:c>
      <x:c r="I73" s="82" t="n">
        <x:v>229.214192</x:v>
      </x:c>
      <x:c r="J73" s="82" t="n">
        <x:v>193.410242</x:v>
      </x:c>
      <x:c r="K73" s="68" t="n">
        <x:f>E73-D73</x:f>
        <x:v>-4</x:v>
      </x:c>
      <x:c r="L73" s="68" t="n">
        <x:f>ABS(K73)</x:f>
        <x:v>4</x:v>
      </x:c>
    </x:row>
    <x:row r="74" ht="22" customHeight="1">
      <x:c r="A74" s="68" t="str">
        <x:v>DOWN</x:v>
      </x:c>
      <x:c r="B74" s="68" t="str">
        <x:v>2026-02-16</x:v>
      </x:c>
      <x:c r="C74" s="68" t="n">
        <x:v>0</x:v>
      </x:c>
      <x:c r="D74" s="68" t="n">
        <x:v>7</x:v>
      </x:c>
      <x:c r="E74" s="68" t="n">
        <x:v>1</x:v>
      </x:c>
      <x:c r="F74" s="68" t="n">
        <x:v>14</x:v>
      </x:c>
      <x:c r="G74" s="68" t="n">
        <x:v>15</x:v>
      </x:c>
      <x:c r="H74" s="82" t="n">
        <x:v>352.46667</x:v>
      </x:c>
      <x:c r="I74" s="82" t="n">
        <x:v>22.211445</x:v>
      </x:c>
      <x:c r="J74" s="82" t="n">
        <x:v>66.966063</x:v>
      </x:c>
      <x:c r="K74" s="68" t="n">
        <x:f>E74-D74</x:f>
        <x:v>-6</x:v>
      </x:c>
      <x:c r="L74" s="68" t="n">
        <x:f>ABS(K74)</x:f>
        <x:v>6</x:v>
      </x:c>
    </x:row>
    <x:row r="75" ht="22" customHeight="1">
      <x:c r="A75" s="68" t="str">
        <x:v>DOWN</x:v>
      </x:c>
      <x:c r="B75" s="68" t="str">
        <x:v>2026-02-16</x:v>
      </x:c>
      <x:c r="C75" s="68" t="n">
        <x:v>1</x:v>
      </x:c>
      <x:c r="D75" s="68" t="n">
        <x:v>14</x:v>
      </x:c>
      <x:c r="E75" s="68" t="n">
        <x:v>7</x:v>
      </x:c>
      <x:c r="F75" s="68" t="n">
        <x:v>20</x:v>
      </x:c>
      <x:c r="G75" s="68" t="n">
        <x:v>27</x:v>
      </x:c>
      <x:c r="H75" s="82" t="n">
        <x:v>434.03333</x:v>
      </x:c>
      <x:c r="I75" s="82" t="n">
        <x:v>55.625022</x:v>
      </x:c>
      <x:c r="J75" s="82" t="n">
        <x:v>77.645086</x:v>
      </x:c>
      <x:c r="K75" s="68" t="n">
        <x:f>E75-D75</x:f>
        <x:v>-7</x:v>
      </x:c>
      <x:c r="L75" s="68" t="n">
        <x:f>ABS(K75)</x:f>
        <x:v>7</x:v>
      </x:c>
    </x:row>
    <x:row r="76" ht="22" customHeight="1">
      <x:c r="A76" s="68" t="str">
        <x:v>DOWN</x:v>
      </x:c>
      <x:c r="B76" s="68" t="str">
        <x:v>2026-02-16</x:v>
      </x:c>
      <x:c r="C76" s="68" t="n">
        <x:v>2</x:v>
      </x:c>
      <x:c r="D76" s="68" t="n">
        <x:v>12</x:v>
      </x:c>
      <x:c r="E76" s="68" t="n">
        <x:v>9</x:v>
      </x:c>
      <x:c r="F76" s="68" t="n">
        <x:v>19</x:v>
      </x:c>
      <x:c r="G76" s="68" t="n">
        <x:v>28</x:v>
      </x:c>
      <x:c r="H76" s="82" t="n">
        <x:v>474.95001</x:v>
      </x:c>
      <x:c r="I76" s="82" t="n">
        <x:v>81.555918</x:v>
      </x:c>
      <x:c r="J76" s="82" t="n">
        <x:v>107.351729</x:v>
      </x:c>
      <x:c r="K76" s="68" t="n">
        <x:f>E76-D76</x:f>
        <x:v>-3</x:v>
      </x:c>
      <x:c r="L76" s="68" t="n">
        <x:f>ABS(K76)</x:f>
        <x:v>3</x:v>
      </x:c>
    </x:row>
    <x:row r="77" ht="22" customHeight="1">
      <x:c r="A77" s="68" t="str">
        <x:v>DOWN</x:v>
      </x:c>
      <x:c r="B77" s="68" t="str">
        <x:v>2026-02-16</x:v>
      </x:c>
      <x:c r="C77" s="68" t="n">
        <x:v>3</x:v>
      </x:c>
      <x:c r="D77" s="68" t="n">
        <x:v>7</x:v>
      </x:c>
      <x:c r="E77" s="68" t="n">
        <x:v>6</x:v>
      </x:c>
      <x:c r="F77" s="68" t="n">
        <x:v>12</x:v>
      </x:c>
      <x:c r="G77" s="68" t="n">
        <x:v>18</x:v>
      </x:c>
      <x:c r="H77" s="82" t="n">
        <x:v>335.56668</x:v>
      </x:c>
      <x:c r="I77" s="82" t="n">
        <x:v>62.583894</x:v>
      </x:c>
      <x:c r="J77" s="82" t="n">
        <x:v>35.930911</x:v>
      </x:c>
      <x:c r="K77" s="68" t="n">
        <x:f>E77-D77</x:f>
        <x:v>-1</x:v>
      </x:c>
      <x:c r="L77" s="68" t="n">
        <x:f>ABS(K77)</x:f>
        <x:v>1</x:v>
      </x:c>
    </x:row>
    <x:row r="78" ht="22" customHeight="1">
      <x:c r="A78" s="68" t="str">
        <x:v>DOWN</x:v>
      </x:c>
      <x:c r="B78" s="68" t="str">
        <x:v>2026-02-16</x:v>
      </x:c>
      <x:c r="C78" s="68" t="n">
        <x:v>4</x:v>
      </x:c>
      <x:c r="D78" s="68" t="n">
        <x:v>9</x:v>
      </x:c>
      <x:c r="E78" s="68" t="n">
        <x:v>8</x:v>
      </x:c>
      <x:c r="F78" s="68" t="n">
        <x:v>19</x:v>
      </x:c>
      <x:c r="G78" s="68" t="n">
        <x:v>27</x:v>
      </x:c>
      <x:c r="H78" s="82" t="n">
        <x:v>303.40001</x:v>
      </x:c>
      <x:c r="I78" s="82" t="n">
        <x:v>51.576277</x:v>
      </x:c>
      <x:c r="J78" s="82" t="n">
        <x:v>160.564897</x:v>
      </x:c>
      <x:c r="K78" s="68" t="n">
        <x:f>E78-D78</x:f>
        <x:v>-1</x:v>
      </x:c>
      <x:c r="L78" s="68" t="n">
        <x:f>ABS(K78)</x:f>
        <x:v>1</x:v>
      </x:c>
    </x:row>
    <x:row r="79" ht="22" customHeight="1">
      <x:c r="A79" s="68" t="str">
        <x:v>DOWN</x:v>
      </x:c>
      <x:c r="B79" s="68" t="str">
        <x:v>2026-02-16</x:v>
      </x:c>
      <x:c r="C79" s="68" t="n">
        <x:v>5</x:v>
      </x:c>
      <x:c r="D79" s="68" t="n">
        <x:v>10</x:v>
      </x:c>
      <x:c r="E79" s="68" t="n">
        <x:v>6</x:v>
      </x:c>
      <x:c r="F79" s="68" t="n">
        <x:v>31</x:v>
      </x:c>
      <x:c r="G79" s="68" t="n">
        <x:v>37</x:v>
      </x:c>
      <x:c r="H79" s="82" t="n">
        <x:v>343.16665</x:v>
      </x:c>
      <x:c r="I79" s="82" t="n">
        <x:v>80.827086</x:v>
      </x:c>
      <x:c r="J79" s="82" t="n">
        <x:v>213.012341</x:v>
      </x:c>
      <x:c r="K79" s="68" t="n">
        <x:f>E79-D79</x:f>
        <x:v>-4</x:v>
      </x:c>
      <x:c r="L79" s="68" t="n">
        <x:f>ABS(K79)</x:f>
        <x:v>4</x:v>
      </x:c>
    </x:row>
    <x:row r="80" ht="22" customHeight="1">
      <x:c r="A80" s="68" t="str">
        <x:v>DOWN</x:v>
      </x:c>
      <x:c r="B80" s="68" t="str">
        <x:v>2026-02-16</x:v>
      </x:c>
      <x:c r="C80" s="68" t="n">
        <x:v>6</x:v>
      </x:c>
      <x:c r="D80" s="68" t="n">
        <x:v>17</x:v>
      </x:c>
      <x:c r="E80" s="68" t="n">
        <x:v>6</x:v>
      </x:c>
      <x:c r="F80" s="68" t="n">
        <x:v>35</x:v>
      </x:c>
      <x:c r="G80" s="68" t="n">
        <x:v>41</x:v>
      </x:c>
      <x:c r="H80" s="82" t="n">
        <x:v>428.63335</x:v>
      </x:c>
      <x:c r="I80" s="82" t="n">
        <x:v>77.000391</x:v>
      </x:c>
      <x:c r="J80" s="82" t="n">
        <x:v>178.751606</x:v>
      </x:c>
      <x:c r="K80" s="68" t="n">
        <x:f>E80-D80</x:f>
        <x:v>-11</x:v>
      </x:c>
      <x:c r="L80" s="68" t="n">
        <x:f>ABS(K80)</x:f>
        <x:v>11</x:v>
      </x:c>
    </x:row>
    <x:row r="81" ht="22" customHeight="1">
      <x:c r="A81" s="68" t="str">
        <x:v>DOWN</x:v>
      </x:c>
      <x:c r="B81" s="68" t="str">
        <x:v>2026-02-16</x:v>
      </x:c>
      <x:c r="C81" s="68" t="n">
        <x:v>7</x:v>
      </x:c>
      <x:c r="D81" s="68" t="n">
        <x:v>18</x:v>
      </x:c>
      <x:c r="E81" s="68" t="n">
        <x:v>5</x:v>
      </x:c>
      <x:c r="F81" s="68" t="n">
        <x:v>45</x:v>
      </x:c>
      <x:c r="G81" s="68" t="n">
        <x:v>50</x:v>
      </x:c>
      <x:c r="H81" s="82" t="n">
        <x:v>596.03333</x:v>
      </x:c>
      <x:c r="I81" s="82" t="n">
        <x:v>19.082741</x:v>
      </x:c>
      <x:c r="J81" s="82" t="n">
        <x:v>329.867737</x:v>
      </x:c>
      <x:c r="K81" s="68" t="n">
        <x:f>E81-D81</x:f>
        <x:v>-13</x:v>
      </x:c>
      <x:c r="L81" s="68" t="n">
        <x:f>ABS(K81)</x:f>
        <x:v>13</x:v>
      </x:c>
    </x:row>
    <x:row r="82" ht="22" customHeight="1">
      <x:c r="A82" s="68" t="str">
        <x:v>DOWN</x:v>
      </x:c>
      <x:c r="B82" s="68" t="str">
        <x:v>2026-02-16</x:v>
      </x:c>
      <x:c r="C82" s="68" t="n">
        <x:v>8</x:v>
      </x:c>
      <x:c r="D82" s="68" t="n">
        <x:v>35</x:v>
      </x:c>
      <x:c r="E82" s="68" t="n">
        <x:v>16</x:v>
      </x:c>
      <x:c r="F82" s="68" t="n">
        <x:v>38</x:v>
      </x:c>
      <x:c r="G82" s="68" t="n">
        <x:v>54</x:v>
      </x:c>
      <x:c r="H82" s="82" t="n">
        <x:v>890.13331</x:v>
      </x:c>
      <x:c r="I82" s="82" t="n">
        <x:v>159.269952</x:v>
      </x:c>
      <x:c r="J82" s="82" t="n">
        <x:v>253.669988</x:v>
      </x:c>
      <x:c r="K82" s="68" t="n">
        <x:f>E82-D82</x:f>
        <x:v>-19</x:v>
      </x:c>
      <x:c r="L82" s="68" t="n">
        <x:f>ABS(K82)</x:f>
        <x:v>19</x:v>
      </x:c>
    </x:row>
    <x:row r="83" ht="22" customHeight="1">
      <x:c r="A83" s="68" t="str">
        <x:v>DOWN</x:v>
      </x:c>
      <x:c r="B83" s="68" t="str">
        <x:v>2026-02-16</x:v>
      </x:c>
      <x:c r="C83" s="68" t="n">
        <x:v>9</x:v>
      </x:c>
      <x:c r="D83" s="68" t="n">
        <x:v>29</x:v>
      </x:c>
      <x:c r="E83" s="68" t="n">
        <x:v>14</x:v>
      </x:c>
      <x:c r="F83" s="68" t="n">
        <x:v>57</x:v>
      </x:c>
      <x:c r="G83" s="68" t="n">
        <x:v>71</x:v>
      </x:c>
      <x:c r="H83" s="82" t="n">
        <x:v>872.15</x:v>
      </x:c>
      <x:c r="I83" s="82" t="n">
        <x:v>174.152979</x:v>
      </x:c>
      <x:c r="J83" s="82" t="n">
        <x:v>347.111664</x:v>
      </x:c>
      <x:c r="K83" s="68" t="n">
        <x:f>E83-D83</x:f>
        <x:v>-15</x:v>
      </x:c>
      <x:c r="L83" s="68" t="n">
        <x:f>ABS(K83)</x:f>
        <x:v>15</x:v>
      </x:c>
    </x:row>
    <x:row r="84" ht="22" customHeight="1">
      <x:c r="A84" s="68" t="str">
        <x:v>DOWN</x:v>
      </x:c>
      <x:c r="B84" s="68" t="str">
        <x:v>2026-02-16</x:v>
      </x:c>
      <x:c r="C84" s="68" t="n">
        <x:v>10</x:v>
      </x:c>
      <x:c r="D84" s="68" t="n">
        <x:v>27</x:v>
      </x:c>
      <x:c r="E84" s="68" t="n">
        <x:v>16</x:v>
      </x:c>
      <x:c r="F84" s="68" t="n">
        <x:v>59</x:v>
      </x:c>
      <x:c r="G84" s="68" t="n">
        <x:v>75</x:v>
      </x:c>
      <x:c r="H84" s="82" t="n">
        <x:v>814.38334</x:v>
      </x:c>
      <x:c r="I84" s="82" t="n">
        <x:v>175.575433</x:v>
      </x:c>
      <x:c r="J84" s="82" t="n">
        <x:v>521.754684</x:v>
      </x:c>
      <x:c r="K84" s="68" t="n">
        <x:f>E84-D84</x:f>
        <x:v>-11</x:v>
      </x:c>
      <x:c r="L84" s="68" t="n">
        <x:f>ABS(K84)</x:f>
        <x:v>11</x:v>
      </x:c>
    </x:row>
    <x:row r="85" ht="22" customHeight="1">
      <x:c r="A85" s="68" t="str">
        <x:v>DOWN</x:v>
      </x:c>
      <x:c r="B85" s="68" t="str">
        <x:v>2026-02-16</x:v>
      </x:c>
      <x:c r="C85" s="68" t="n">
        <x:v>11</x:v>
      </x:c>
      <x:c r="D85" s="68" t="n">
        <x:v>44</x:v>
      </x:c>
      <x:c r="E85" s="68" t="n">
        <x:v>22</x:v>
      </x:c>
      <x:c r="F85" s="68" t="n">
        <x:v>75</x:v>
      </x:c>
      <x:c r="G85" s="68" t="n">
        <x:v>97</x:v>
      </x:c>
      <x:c r="H85" s="82" t="n">
        <x:v>1160.36667</x:v>
      </x:c>
      <x:c r="I85" s="82" t="n">
        <x:v>235.540379</x:v>
      </x:c>
      <x:c r="J85" s="82" t="n">
        <x:v>666.58432</x:v>
      </x:c>
      <x:c r="K85" s="68" t="n">
        <x:f>E85-D85</x:f>
        <x:v>-22</x:v>
      </x:c>
      <x:c r="L85" s="68" t="n">
        <x:f>ABS(K85)</x:f>
        <x:v>22</x:v>
      </x:c>
    </x:row>
    <x:row r="86" ht="22" customHeight="1">
      <x:c r="A86" s="68" t="str">
        <x:v>DOWN</x:v>
      </x:c>
      <x:c r="B86" s="68" t="str">
        <x:v>2026-02-16</x:v>
      </x:c>
      <x:c r="C86" s="68" t="n">
        <x:v>12</x:v>
      </x:c>
      <x:c r="D86" s="68" t="n">
        <x:v>37</x:v>
      </x:c>
      <x:c r="E86" s="68" t="n">
        <x:v>32</x:v>
      </x:c>
      <x:c r="F86" s="68" t="n">
        <x:v>72</x:v>
      </x:c>
      <x:c r="G86" s="68" t="n">
        <x:v>104</x:v>
      </x:c>
      <x:c r="H86" s="82" t="n">
        <x:v>1111.26666</x:v>
      </x:c>
      <x:c r="I86" s="82" t="n">
        <x:v>485.480231</x:v>
      </x:c>
      <x:c r="J86" s="82" t="n">
        <x:v>716.682279</x:v>
      </x:c>
      <x:c r="K86" s="68" t="n">
        <x:f>E86-D86</x:f>
        <x:v>-5</x:v>
      </x:c>
      <x:c r="L86" s="68" t="n">
        <x:f>ABS(K86)</x:f>
        <x:v>5</x:v>
      </x:c>
    </x:row>
    <x:row r="87" ht="22" customHeight="1">
      <x:c r="A87" s="68" t="str">
        <x:v>DOWN</x:v>
      </x:c>
      <x:c r="B87" s="68" t="str">
        <x:v>2026-02-16</x:v>
      </x:c>
      <x:c r="C87" s="68" t="n">
        <x:v>13</x:v>
      </x:c>
      <x:c r="D87" s="68" t="n">
        <x:v>44</x:v>
      </x:c>
      <x:c r="E87" s="68" t="n">
        <x:v>41</x:v>
      </x:c>
      <x:c r="F87" s="68" t="n">
        <x:v>85</x:v>
      </x:c>
      <x:c r="G87" s="68" t="n">
        <x:v>126</x:v>
      </x:c>
      <x:c r="H87" s="82" t="n">
        <x:v>1241.68333</x:v>
      </x:c>
      <x:c r="I87" s="82" t="n">
        <x:v>625.520475</x:v>
      </x:c>
      <x:c r="J87" s="82" t="n">
        <x:v>873.639839</x:v>
      </x:c>
      <x:c r="K87" s="68" t="n">
        <x:f>E87-D87</x:f>
        <x:v>-3</x:v>
      </x:c>
      <x:c r="L87" s="68" t="n">
        <x:f>ABS(K87)</x:f>
        <x:v>3</x:v>
      </x:c>
    </x:row>
    <x:row r="88" ht="22" customHeight="1">
      <x:c r="A88" s="68" t="str">
        <x:v>DOWN</x:v>
      </x:c>
      <x:c r="B88" s="68" t="str">
        <x:v>2026-02-16</x:v>
      </x:c>
      <x:c r="C88" s="68" t="n">
        <x:v>14</x:v>
      </x:c>
      <x:c r="D88" s="68" t="n">
        <x:v>34</x:v>
      </x:c>
      <x:c r="E88" s="68" t="n">
        <x:v>34</x:v>
      </x:c>
      <x:c r="F88" s="68" t="n">
        <x:v>63</x:v>
      </x:c>
      <x:c r="G88" s="68" t="n">
        <x:v>97</x:v>
      </x:c>
      <x:c r="H88" s="82" t="n">
        <x:v>1124.36668</x:v>
      </x:c>
      <x:c r="I88" s="82" t="n">
        <x:v>547.652533</x:v>
      </x:c>
      <x:c r="J88" s="82" t="n">
        <x:v>843.540714</x:v>
      </x:c>
      <x:c r="K88" s="68" t="n">
        <x:f>E88-D88</x:f>
        <x:v>0</x:v>
      </x:c>
      <x:c r="L88" s="68" t="n">
        <x:f>ABS(K88)</x:f>
        <x:v>0</x:v>
      </x:c>
    </x:row>
    <x:row r="89" ht="22" customHeight="1">
      <x:c r="A89" s="68" t="str">
        <x:v>DOWN</x:v>
      </x:c>
      <x:c r="B89" s="68" t="str">
        <x:v>2026-02-16</x:v>
      </x:c>
      <x:c r="C89" s="68" t="n">
        <x:v>15</x:v>
      </x:c>
      <x:c r="D89" s="68" t="n">
        <x:v>36</x:v>
      </x:c>
      <x:c r="E89" s="68" t="n">
        <x:v>40</x:v>
      </x:c>
      <x:c r="F89" s="68" t="n">
        <x:v>66</x:v>
      </x:c>
      <x:c r="G89" s="68" t="n">
        <x:v>106</x:v>
      </x:c>
      <x:c r="H89" s="82" t="n">
        <x:v>901.76666</x:v>
      </x:c>
      <x:c r="I89" s="82" t="n">
        <x:v>638.418949</x:v>
      </x:c>
      <x:c r="J89" s="82" t="n">
        <x:v>800.04979</x:v>
      </x:c>
      <x:c r="K89" s="68" t="n">
        <x:f>E89-D89</x:f>
        <x:v>4</x:v>
      </x:c>
      <x:c r="L89" s="68" t="n">
        <x:f>ABS(K89)</x:f>
        <x:v>4</x:v>
      </x:c>
    </x:row>
    <x:row r="90" ht="22" customHeight="1">
      <x:c r="A90" s="68" t="str">
        <x:v>DOWN</x:v>
      </x:c>
      <x:c r="B90" s="68" t="str">
        <x:v>2026-02-16</x:v>
      </x:c>
      <x:c r="C90" s="68" t="n">
        <x:v>16</x:v>
      </x:c>
      <x:c r="D90" s="68" t="n">
        <x:v>32</x:v>
      </x:c>
      <x:c r="E90" s="68" t="n">
        <x:v>38</x:v>
      </x:c>
      <x:c r="F90" s="68" t="n">
        <x:v>62</x:v>
      </x:c>
      <x:c r="G90" s="68" t="n">
        <x:v>100</x:v>
      </x:c>
      <x:c r="H90" s="82" t="n">
        <x:v>808.33333</x:v>
      </x:c>
      <x:c r="I90" s="82" t="n">
        <x:v>677.632638</x:v>
      </x:c>
      <x:c r="J90" s="82" t="n">
        <x:v>757.619282</x:v>
      </x:c>
      <x:c r="K90" s="68" t="n">
        <x:f>E90-D90</x:f>
        <x:v>6</x:v>
      </x:c>
      <x:c r="L90" s="68" t="n">
        <x:f>ABS(K90)</x:f>
        <x:v>6</x:v>
      </x:c>
    </x:row>
    <x:row r="91" ht="22" customHeight="1">
      <x:c r="A91" s="68" t="str">
        <x:v>DOWN</x:v>
      </x:c>
      <x:c r="B91" s="68" t="str">
        <x:v>2026-02-16</x:v>
      </x:c>
      <x:c r="C91" s="68" t="n">
        <x:v>17</x:v>
      </x:c>
      <x:c r="D91" s="68" t="n">
        <x:v>34</x:v>
      </x:c>
      <x:c r="E91" s="68" t="n">
        <x:v>30</x:v>
      </x:c>
      <x:c r="F91" s="68" t="n">
        <x:v>65</x:v>
      </x:c>
      <x:c r="G91" s="68" t="n">
        <x:v>95</x:v>
      </x:c>
      <x:c r="H91" s="82" t="n">
        <x:v>890.13333</x:v>
      </x:c>
      <x:c r="I91" s="82" t="n">
        <x:v>657.943745</x:v>
      </x:c>
      <x:c r="J91" s="82" t="n">
        <x:v>625.830204</x:v>
      </x:c>
      <x:c r="K91" s="68" t="n">
        <x:f>E91-D91</x:f>
        <x:v>-4</x:v>
      </x:c>
      <x:c r="L91" s="68" t="n">
        <x:f>ABS(K91)</x:f>
        <x:v>4</x:v>
      </x:c>
    </x:row>
    <x:row r="92" ht="22" customHeight="1">
      <x:c r="A92" s="68" t="str">
        <x:v>DOWN</x:v>
      </x:c>
      <x:c r="B92" s="68" t="str">
        <x:v>2026-02-16</x:v>
      </x:c>
      <x:c r="C92" s="68" t="n">
        <x:v>18</x:v>
      </x:c>
      <x:c r="D92" s="68" t="n">
        <x:v>32</x:v>
      </x:c>
      <x:c r="E92" s="68" t="n">
        <x:v>21</x:v>
      </x:c>
      <x:c r="F92" s="68" t="n">
        <x:v>55</x:v>
      </x:c>
      <x:c r="G92" s="68" t="n">
        <x:v>76</x:v>
      </x:c>
      <x:c r="H92" s="82" t="n">
        <x:v>818.95001</x:v>
      </x:c>
      <x:c r="I92" s="82" t="n">
        <x:v>282.705247</x:v>
      </x:c>
      <x:c r="J92" s="82" t="n">
        <x:v>586.574245</x:v>
      </x:c>
      <x:c r="K92" s="68" t="n">
        <x:f>E92-D92</x:f>
        <x:v>-11</x:v>
      </x:c>
      <x:c r="L92" s="68" t="n">
        <x:f>ABS(K92)</x:f>
        <x:v>11</x:v>
      </x:c>
    </x:row>
    <x:row r="93" ht="22" customHeight="1">
      <x:c r="A93" s="68" t="str">
        <x:v>DOWN</x:v>
      </x:c>
      <x:c r="B93" s="68" t="str">
        <x:v>2026-02-16</x:v>
      </x:c>
      <x:c r="C93" s="68" t="n">
        <x:v>19</x:v>
      </x:c>
      <x:c r="D93" s="68" t="n">
        <x:v>16</x:v>
      </x:c>
      <x:c r="E93" s="68" t="n">
        <x:v>23</x:v>
      </x:c>
      <x:c r="F93" s="68" t="n">
        <x:v>45</x:v>
      </x:c>
      <x:c r="G93" s="68" t="n">
        <x:v>68</x:v>
      </x:c>
      <x:c r="H93" s="82" t="n">
        <x:v>505.89998</x:v>
      </x:c>
      <x:c r="I93" s="82" t="n">
        <x:v>350.905097</x:v>
      </x:c>
      <x:c r="J93" s="82" t="n">
        <x:v>492.448615</x:v>
      </x:c>
      <x:c r="K93" s="68" t="n">
        <x:f>E93-D93</x:f>
        <x:v>7</x:v>
      </x:c>
      <x:c r="L93" s="68" t="n">
        <x:f>ABS(K93)</x:f>
        <x:v>7</x:v>
      </x:c>
    </x:row>
    <x:row r="94" ht="22" customHeight="1">
      <x:c r="A94" s="68" t="str">
        <x:v>DOWN</x:v>
      </x:c>
      <x:c r="B94" s="68" t="str">
        <x:v>2026-02-16</x:v>
      </x:c>
      <x:c r="C94" s="68" t="n">
        <x:v>20</x:v>
      </x:c>
      <x:c r="D94" s="68" t="n">
        <x:v>17</x:v>
      </x:c>
      <x:c r="E94" s="68" t="n">
        <x:v>12</x:v>
      </x:c>
      <x:c r="F94" s="68" t="n">
        <x:v>39</x:v>
      </x:c>
      <x:c r="G94" s="68" t="n">
        <x:v>51</x:v>
      </x:c>
      <x:c r="H94" s="82" t="n">
        <x:v>496.36668</x:v>
      </x:c>
      <x:c r="I94" s="82" t="n">
        <x:v>230.325169</x:v>
      </x:c>
      <x:c r="J94" s="82" t="n">
        <x:v>441.246049</x:v>
      </x:c>
      <x:c r="K94" s="68" t="n">
        <x:f>E94-D94</x:f>
        <x:v>-5</x:v>
      </x:c>
      <x:c r="L94" s="68" t="n">
        <x:f>ABS(K94)</x:f>
        <x:v>5</x:v>
      </x:c>
    </x:row>
    <x:row r="95" ht="22" customHeight="1">
      <x:c r="A95" s="68" t="str">
        <x:v>DOWN</x:v>
      </x:c>
      <x:c r="B95" s="68" t="str">
        <x:v>2026-02-16</x:v>
      </x:c>
      <x:c r="C95" s="68" t="n">
        <x:v>21</x:v>
      </x:c>
      <x:c r="D95" s="68" t="n">
        <x:v>14</x:v>
      </x:c>
      <x:c r="E95" s="68" t="n">
        <x:v>19</x:v>
      </x:c>
      <x:c r="F95" s="68" t="n">
        <x:v>34</x:v>
      </x:c>
      <x:c r="G95" s="68" t="n">
        <x:v>53</x:v>
      </x:c>
      <x:c r="H95" s="82" t="n">
        <x:v>376.08333</x:v>
      </x:c>
      <x:c r="I95" s="82" t="n">
        <x:v>217.617832</x:v>
      </x:c>
      <x:c r="J95" s="82" t="n">
        <x:v>314.164483</x:v>
      </x:c>
      <x:c r="K95" s="68" t="n">
        <x:f>E95-D95</x:f>
        <x:v>5</x:v>
      </x:c>
      <x:c r="L95" s="68" t="n">
        <x:f>ABS(K95)</x:f>
        <x:v>5</x:v>
      </x:c>
    </x:row>
    <x:row r="96" ht="22" customHeight="1">
      <x:c r="A96" s="68" t="str">
        <x:v>DOWN</x:v>
      </x:c>
      <x:c r="B96" s="68" t="str">
        <x:v>2026-02-16</x:v>
      </x:c>
      <x:c r="C96" s="68" t="n">
        <x:v>22</x:v>
      </x:c>
      <x:c r="D96" s="68" t="n">
        <x:v>12</x:v>
      </x:c>
      <x:c r="E96" s="68" t="n">
        <x:v>13</x:v>
      </x:c>
      <x:c r="F96" s="68" t="n">
        <x:v>27</x:v>
      </x:c>
      <x:c r="G96" s="68" t="n">
        <x:v>40</x:v>
      </x:c>
      <x:c r="H96" s="82" t="n">
        <x:v>334.16667</x:v>
      </x:c>
      <x:c r="I96" s="82" t="n">
        <x:v>212.089124</x:v>
      </x:c>
      <x:c r="J96" s="82" t="n">
        <x:v>240.665441</x:v>
      </x:c>
      <x:c r="K96" s="68" t="n">
        <x:f>E96-D96</x:f>
        <x:v>1</x:v>
      </x:c>
      <x:c r="L96" s="68" t="n">
        <x:f>ABS(K96)</x:f>
        <x:v>1</x:v>
      </x:c>
    </x:row>
    <x:row r="97" ht="22" customHeight="1">
      <x:c r="A97" s="68" t="str">
        <x:v>DOWN</x:v>
      </x:c>
      <x:c r="B97" s="68" t="str">
        <x:v>2026-02-16</x:v>
      </x:c>
      <x:c r="C97" s="68" t="n">
        <x:v>23</x:v>
      </x:c>
      <x:c r="D97" s="68" t="n">
        <x:v>14</x:v>
      </x:c>
      <x:c r="E97" s="68" t="n">
        <x:v>12</x:v>
      </x:c>
      <x:c r="F97" s="68" t="n">
        <x:v>20</x:v>
      </x:c>
      <x:c r="G97" s="68" t="n">
        <x:v>32</x:v>
      </x:c>
      <x:c r="H97" s="82" t="n">
        <x:v>312.86666</x:v>
      </x:c>
      <x:c r="I97" s="82" t="n">
        <x:v>190.384151</x:v>
      </x:c>
      <x:c r="J97" s="82" t="n">
        <x:v>258.185703</x:v>
      </x:c>
      <x:c r="K97" s="68" t="n">
        <x:f>E97-D97</x:f>
        <x:v>-2</x:v>
      </x:c>
      <x:c r="L97" s="68" t="n">
        <x:f>ABS(K97)</x:f>
        <x:v>2</x:v>
      </x:c>
    </x:row>
    <x:row r="98" ht="22" customHeight="1">
      <x:c r="A98" s="68" t="str">
        <x:v>DOWN</x:v>
      </x:c>
      <x:c r="B98" s="68" t="str">
        <x:v>2026-02-17</x:v>
      </x:c>
      <x:c r="C98" s="68" t="n">
        <x:v>0</x:v>
      </x:c>
      <x:c r="D98" s="68" t="n">
        <x:v>5</x:v>
      </x:c>
      <x:c r="E98" s="68" t="n">
        <x:v>1</x:v>
      </x:c>
      <x:c r="F98" s="68" t="n">
        <x:v>4</x:v>
      </x:c>
      <x:c r="G98" s="68" t="n">
        <x:v>5</x:v>
      </x:c>
      <x:c r="H98" s="82" t="n">
        <x:v>205.58332</x:v>
      </x:c>
      <x:c r="I98" s="82" t="n">
        <x:v>10.643188</x:v>
      </x:c>
      <x:c r="J98" s="82" t="n">
        <x:v>12.199023</x:v>
      </x:c>
      <x:c r="K98" s="68" t="n">
        <x:f>E98-D98</x:f>
        <x:v>-4</x:v>
      </x:c>
      <x:c r="L98" s="68" t="n">
        <x:f>ABS(K98)</x:f>
        <x:v>4</x:v>
      </x:c>
    </x:row>
    <x:row r="99" ht="22" customHeight="1">
      <x:c r="A99" s="68" t="str">
        <x:v>DOWN</x:v>
      </x:c>
      <x:c r="B99" s="68" t="str">
        <x:v>2026-02-17</x:v>
      </x:c>
      <x:c r="C99" s="68" t="n">
        <x:v>1</x:v>
      </x:c>
      <x:c r="D99" s="68" t="n">
        <x:v>8</x:v>
      </x:c>
      <x:c r="E99" s="68" t="n">
        <x:v>0</x:v>
      </x:c>
      <x:c r="F99" s="68" t="n">
        <x:v>7</x:v>
      </x:c>
      <x:c r="G99" s="68" t="n">
        <x:v>7</x:v>
      </x:c>
      <x:c r="H99" s="82" t="n">
        <x:v>161.91668</x:v>
      </x:c>
      <x:c r="I99" s="82" t="n">
        <x:v>0</x:v>
      </x:c>
      <x:c r="J99" s="82" t="n">
        <x:v>41.784644</x:v>
      </x:c>
      <x:c r="K99" s="68" t="n">
        <x:f>E99-D99</x:f>
        <x:v>-8</x:v>
      </x:c>
      <x:c r="L99" s="68" t="n">
        <x:f>ABS(K99)</x:f>
        <x:v>8</x:v>
      </x:c>
    </x:row>
    <x:row r="100" ht="22" customHeight="1">
      <x:c r="A100" s="68" t="str">
        <x:v>DOWN</x:v>
      </x:c>
      <x:c r="B100" s="68" t="str">
        <x:v>2026-02-17</x:v>
      </x:c>
      <x:c r="C100" s="68" t="n">
        <x:v>2</x:v>
      </x:c>
      <x:c r="D100" s="68" t="n">
        <x:v>2</x:v>
      </x:c>
      <x:c r="E100" s="68" t="n">
        <x:v>2</x:v>
      </x:c>
      <x:c r="F100" s="68" t="n">
        <x:v>7</x:v>
      </x:c>
      <x:c r="G100" s="68" t="n">
        <x:v>9</x:v>
      </x:c>
      <x:c r="H100" s="82" t="n">
        <x:v>128.48333</x:v>
      </x:c>
      <x:c r="I100" s="82" t="n">
        <x:v>13.09979</x:v>
      </x:c>
      <x:c r="J100" s="82" t="n">
        <x:v>32.062227</x:v>
      </x:c>
      <x:c r="K100" s="68" t="n">
        <x:f>E100-D100</x:f>
        <x:v>0</x:v>
      </x:c>
      <x:c r="L100" s="68" t="n">
        <x:f>ABS(K100)</x:f>
        <x:v>0</x:v>
      </x:c>
    </x:row>
    <x:row r="101" ht="22" customHeight="1">
      <x:c r="A101" s="68" t="str">
        <x:v>DOWN</x:v>
      </x:c>
      <x:c r="B101" s="68" t="str">
        <x:v>2026-02-17</x:v>
      </x:c>
      <x:c r="C101" s="68" t="n">
        <x:v>3</x:v>
      </x:c>
      <x:c r="D101" s="68" t="n">
        <x:v>3</x:v>
      </x:c>
      <x:c r="E101" s="68" t="n">
        <x:v>4</x:v>
      </x:c>
      <x:c r="F101" s="68" t="n">
        <x:v>6</x:v>
      </x:c>
      <x:c r="G101" s="68" t="n">
        <x:v>10</x:v>
      </x:c>
      <x:c r="H101" s="82" t="n">
        <x:v>48.01667</x:v>
      </x:c>
      <x:c r="I101" s="82" t="n">
        <x:v>75.27077</x:v>
      </x:c>
      <x:c r="J101" s="82" t="n">
        <x:v>67.477135</x:v>
      </x:c>
      <x:c r="K101" s="68" t="n">
        <x:f>E101-D101</x:f>
        <x:v>1</x:v>
      </x:c>
      <x:c r="L101" s="68" t="n">
        <x:f>ABS(K101)</x:f>
        <x:v>1</x:v>
      </x:c>
    </x:row>
    <x:row r="102" ht="22" customHeight="1">
      <x:c r="A102" s="68" t="str">
        <x:v>DOWN</x:v>
      </x:c>
      <x:c r="B102" s="68" t="str">
        <x:v>2026-02-17</x:v>
      </x:c>
      <x:c r="C102" s="68" t="n">
        <x:v>4</x:v>
      </x:c>
      <x:c r="D102" s="68" t="n">
        <x:v>4</x:v>
      </x:c>
      <x:c r="E102" s="68" t="n">
        <x:v>5</x:v>
      </x:c>
      <x:c r="F102" s="68" t="n">
        <x:v>6</x:v>
      </x:c>
      <x:c r="G102" s="68" t="n">
        <x:v>11</x:v>
      </x:c>
      <x:c r="H102" s="82" t="n">
        <x:v>127.36667</x:v>
      </x:c>
      <x:c r="I102" s="82" t="n">
        <x:v>35.886708</x:v>
      </x:c>
      <x:c r="J102" s="82" t="n">
        <x:v>49.977304</x:v>
      </x:c>
      <x:c r="K102" s="68" t="n">
        <x:f>E102-D102</x:f>
        <x:v>1</x:v>
      </x:c>
      <x:c r="L102" s="68" t="n">
        <x:f>ABS(K102)</x:f>
        <x:v>1</x:v>
      </x:c>
    </x:row>
    <x:row r="103" ht="22" customHeight="1">
      <x:c r="A103" s="68" t="str">
        <x:v>DOWN</x:v>
      </x:c>
      <x:c r="B103" s="68" t="str">
        <x:v>2026-02-17</x:v>
      </x:c>
      <x:c r="C103" s="68" t="n">
        <x:v>5</x:v>
      </x:c>
      <x:c r="D103" s="68" t="n">
        <x:v>6</x:v>
      </x:c>
      <x:c r="E103" s="68" t="n">
        <x:v>7</x:v>
      </x:c>
      <x:c r="F103" s="68" t="n">
        <x:v>23</x:v>
      </x:c>
      <x:c r="G103" s="68" t="n">
        <x:v>30</x:v>
      </x:c>
      <x:c r="H103" s="82" t="n">
        <x:v>171.16666</x:v>
      </x:c>
      <x:c r="I103" s="82" t="n">
        <x:v>135.018275</x:v>
      </x:c>
      <x:c r="J103" s="82" t="n">
        <x:v>126.297217</x:v>
      </x:c>
      <x:c r="K103" s="68" t="n">
        <x:f>E103-D103</x:f>
        <x:v>1</x:v>
      </x:c>
      <x:c r="L103" s="68" t="n">
        <x:f>ABS(K103)</x:f>
        <x:v>1</x:v>
      </x:c>
    </x:row>
    <x:row r="104" ht="22" customHeight="1">
      <x:c r="A104" s="68" t="str">
        <x:v>DOWN</x:v>
      </x:c>
      <x:c r="B104" s="68" t="str">
        <x:v>2026-02-17</x:v>
      </x:c>
      <x:c r="C104" s="68" t="n">
        <x:v>6</x:v>
      </x:c>
      <x:c r="D104" s="68" t="n">
        <x:v>8</x:v>
      </x:c>
      <x:c r="E104" s="68" t="n">
        <x:v>5</x:v>
      </x:c>
      <x:c r="F104" s="68" t="n">
        <x:v>42</x:v>
      </x:c>
      <x:c r="G104" s="68" t="n">
        <x:v>47</x:v>
      </x:c>
      <x:c r="H104" s="82" t="n">
        <x:v>175.80002</x:v>
      </x:c>
      <x:c r="I104" s="82" t="n">
        <x:v>112.474903</x:v>
      </x:c>
      <x:c r="J104" s="82" t="n">
        <x:v>261.435488</x:v>
      </x:c>
      <x:c r="K104" s="68" t="n">
        <x:f>E104-D104</x:f>
        <x:v>-3</x:v>
      </x:c>
      <x:c r="L104" s="68" t="n">
        <x:f>ABS(K104)</x:f>
        <x:v>3</x:v>
      </x:c>
    </x:row>
    <x:row r="105" ht="22" customHeight="1">
      <x:c r="A105" s="68" t="str">
        <x:v>DOWN</x:v>
      </x:c>
      <x:c r="B105" s="68" t="str">
        <x:v>2026-02-17</x:v>
      </x:c>
      <x:c r="C105" s="68" t="n">
        <x:v>7</x:v>
      </x:c>
      <x:c r="D105" s="68" t="n">
        <x:v>16</x:v>
      </x:c>
      <x:c r="E105" s="68" t="n">
        <x:v>11</x:v>
      </x:c>
      <x:c r="F105" s="68" t="n">
        <x:v>46</x:v>
      </x:c>
      <x:c r="G105" s="68" t="n">
        <x:v>57</x:v>
      </x:c>
      <x:c r="H105" s="82" t="n">
        <x:v>389.98334</x:v>
      </x:c>
      <x:c r="I105" s="82" t="n">
        <x:v>144.358863</x:v>
      </x:c>
      <x:c r="J105" s="82" t="n">
        <x:v>284.688204</x:v>
      </x:c>
      <x:c r="K105" s="68" t="n">
        <x:f>E105-D105</x:f>
        <x:v>-5</x:v>
      </x:c>
      <x:c r="L105" s="68" t="n">
        <x:f>ABS(K105)</x:f>
        <x:v>5</x:v>
      </x:c>
    </x:row>
    <x:row r="106" ht="22" customHeight="1">
      <x:c r="A106" s="68" t="str">
        <x:v>DOWN</x:v>
      </x:c>
      <x:c r="B106" s="68" t="str">
        <x:v>2026-02-17</x:v>
      </x:c>
      <x:c r="C106" s="68" t="n">
        <x:v>8</x:v>
      </x:c>
      <x:c r="D106" s="68" t="n">
        <x:v>19</x:v>
      </x:c>
      <x:c r="E106" s="68" t="n">
        <x:v>13</x:v>
      </x:c>
      <x:c r="F106" s="68" t="n">
        <x:v>39</x:v>
      </x:c>
      <x:c r="G106" s="68" t="n">
        <x:v>52</x:v>
      </x:c>
      <x:c r="H106" s="82" t="n">
        <x:v>563.04999</x:v>
      </x:c>
      <x:c r="I106" s="82" t="n">
        <x:v>239.276571</x:v>
      </x:c>
      <x:c r="J106" s="82" t="n">
        <x:v>310.647073</x:v>
      </x:c>
      <x:c r="K106" s="68" t="n">
        <x:f>E106-D106</x:f>
        <x:v>-6</x:v>
      </x:c>
      <x:c r="L106" s="68" t="n">
        <x:f>ABS(K106)</x:f>
        <x:v>6</x:v>
      </x:c>
    </x:row>
    <x:row r="107" ht="22" customHeight="1">
      <x:c r="A107" s="68" t="str">
        <x:v>DOWN</x:v>
      </x:c>
      <x:c r="B107" s="68" t="str">
        <x:v>2026-02-17</x:v>
      </x:c>
      <x:c r="C107" s="68" t="n">
        <x:v>9</x:v>
      </x:c>
      <x:c r="D107" s="68" t="n">
        <x:v>34</x:v>
      </x:c>
      <x:c r="E107" s="68" t="n">
        <x:v>26</x:v>
      </x:c>
      <x:c r="F107" s="68" t="n">
        <x:v>48</x:v>
      </x:c>
      <x:c r="G107" s="68" t="n">
        <x:v>74</x:v>
      </x:c>
      <x:c r="H107" s="82" t="n">
        <x:v>806.56666</x:v>
      </x:c>
      <x:c r="I107" s="82" t="n">
        <x:v>237.521524</x:v>
      </x:c>
      <x:c r="J107" s="82" t="n">
        <x:v>417.479483</x:v>
      </x:c>
      <x:c r="K107" s="68" t="n">
        <x:f>E107-D107</x:f>
        <x:v>-8</x:v>
      </x:c>
      <x:c r="L107" s="68" t="n">
        <x:f>ABS(K107)</x:f>
        <x:v>8</x:v>
      </x:c>
    </x:row>
    <x:row r="108" ht="22" customHeight="1">
      <x:c r="A108" s="68" t="str">
        <x:v>DOWN</x:v>
      </x:c>
      <x:c r="B108" s="68" t="str">
        <x:v>2026-02-17</x:v>
      </x:c>
      <x:c r="C108" s="68" t="n">
        <x:v>10</x:v>
      </x:c>
      <x:c r="D108" s="68" t="n">
        <x:v>29</x:v>
      </x:c>
      <x:c r="E108" s="68" t="n">
        <x:v>26</x:v>
      </x:c>
      <x:c r="F108" s="68" t="n">
        <x:v>69</x:v>
      </x:c>
      <x:c r="G108" s="68" t="n">
        <x:v>95</x:v>
      </x:c>
      <x:c r="H108" s="82" t="n">
        <x:v>840.26667</x:v>
      </x:c>
      <x:c r="I108" s="82" t="n">
        <x:v>295.327368</x:v>
      </x:c>
      <x:c r="J108" s="82" t="n">
        <x:v>603.235812</x:v>
      </x:c>
      <x:c r="K108" s="68" t="n">
        <x:f>E108-D108</x:f>
        <x:v>-3</x:v>
      </x:c>
      <x:c r="L108" s="68" t="n">
        <x:f>ABS(K108)</x:f>
        <x:v>3</x:v>
      </x:c>
    </x:row>
    <x:row r="109" ht="22" customHeight="1">
      <x:c r="A109" s="68" t="str">
        <x:v>DOWN</x:v>
      </x:c>
      <x:c r="B109" s="68" t="str">
        <x:v>2026-02-17</x:v>
      </x:c>
      <x:c r="C109" s="68" t="n">
        <x:v>11</x:v>
      </x:c>
      <x:c r="D109" s="68" t="n">
        <x:v>35</x:v>
      </x:c>
      <x:c r="E109" s="68" t="n">
        <x:v>33</x:v>
      </x:c>
      <x:c r="F109" s="68" t="n">
        <x:v>64</x:v>
      </x:c>
      <x:c r="G109" s="68" t="n">
        <x:v>97</x:v>
      </x:c>
      <x:c r="H109" s="82" t="n">
        <x:v>948.18334</x:v>
      </x:c>
      <x:c r="I109" s="82" t="n">
        <x:v>307.990082</x:v>
      </x:c>
      <x:c r="J109" s="82" t="n">
        <x:v>533.016137</x:v>
      </x:c>
      <x:c r="K109" s="68" t="n">
        <x:f>E109-D109</x:f>
        <x:v>-2</x:v>
      </x:c>
      <x:c r="L109" s="68" t="n">
        <x:f>ABS(K109)</x:f>
        <x:v>2</x:v>
      </x:c>
    </x:row>
    <x:row r="110" ht="22" customHeight="1">
      <x:c r="A110" s="68" t="str">
        <x:v>DOWN</x:v>
      </x:c>
      <x:c r="B110" s="68" t="str">
        <x:v>2026-02-17</x:v>
      </x:c>
      <x:c r="C110" s="68" t="n">
        <x:v>12</x:v>
      </x:c>
      <x:c r="D110" s="68" t="n">
        <x:v>47</x:v>
      </x:c>
      <x:c r="E110" s="68" t="n">
        <x:v>43</x:v>
      </x:c>
      <x:c r="F110" s="68" t="n">
        <x:v>87</x:v>
      </x:c>
      <x:c r="G110" s="68" t="n">
        <x:v>130</x:v>
      </x:c>
      <x:c r="H110" s="82" t="n">
        <x:v>1168.53332</x:v>
      </x:c>
      <x:c r="I110" s="82" t="n">
        <x:v>441.606879</x:v>
      </x:c>
      <x:c r="J110" s="82" t="n">
        <x:v>925.561312</x:v>
      </x:c>
      <x:c r="K110" s="68" t="n">
        <x:f>E110-D110</x:f>
        <x:v>-4</x:v>
      </x:c>
      <x:c r="L110" s="68" t="n">
        <x:f>ABS(K110)</x:f>
        <x:v>4</x:v>
      </x:c>
    </x:row>
    <x:row r="111" ht="22" customHeight="1">
      <x:c r="A111" s="68" t="str">
        <x:v>DOWN</x:v>
      </x:c>
      <x:c r="B111" s="68" t="str">
        <x:v>2026-02-17</x:v>
      </x:c>
      <x:c r="C111" s="68" t="n">
        <x:v>13</x:v>
      </x:c>
      <x:c r="D111" s="68" t="n">
        <x:v>40</x:v>
      </x:c>
      <x:c r="E111" s="68" t="n">
        <x:v>33</x:v>
      </x:c>
      <x:c r="F111" s="68" t="n">
        <x:v>85</x:v>
      </x:c>
      <x:c r="G111" s="68" t="n">
        <x:v>118</x:v>
      </x:c>
      <x:c r="H111" s="82" t="n">
        <x:v>1117.13335</x:v>
      </x:c>
      <x:c r="I111" s="82" t="n">
        <x:v>603.407987</x:v>
      </x:c>
      <x:c r="J111" s="82" t="n">
        <x:v>924.482479</x:v>
      </x:c>
      <x:c r="K111" s="68" t="n">
        <x:f>E111-D111</x:f>
        <x:v>-7</x:v>
      </x:c>
      <x:c r="L111" s="68" t="n">
        <x:f>ABS(K111)</x:f>
        <x:v>7</x:v>
      </x:c>
    </x:row>
    <x:row r="112" ht="22" customHeight="1">
      <x:c r="A112" s="68" t="str">
        <x:v>DOWN</x:v>
      </x:c>
      <x:c r="B112" s="68" t="str">
        <x:v>2026-02-17</x:v>
      </x:c>
      <x:c r="C112" s="68" t="n">
        <x:v>14</x:v>
      </x:c>
      <x:c r="D112" s="68" t="n">
        <x:v>49</x:v>
      </x:c>
      <x:c r="E112" s="68" t="n">
        <x:v>47</x:v>
      </x:c>
      <x:c r="F112" s="68" t="n">
        <x:v>80</x:v>
      </x:c>
      <x:c r="G112" s="68" t="n">
        <x:v>127</x:v>
      </x:c>
      <x:c r="H112" s="82" t="n">
        <x:v>1227.13333</x:v>
      </x:c>
      <x:c r="I112" s="82" t="n">
        <x:v>585.467946</x:v>
      </x:c>
      <x:c r="J112" s="82" t="n">
        <x:v>912.60938</x:v>
      </x:c>
      <x:c r="K112" s="68" t="n">
        <x:f>E112-D112</x:f>
        <x:v>-2</x:v>
      </x:c>
      <x:c r="L112" s="68" t="n">
        <x:f>ABS(K112)</x:f>
        <x:v>2</x:v>
      </x:c>
    </x:row>
    <x:row r="113" ht="22" customHeight="1">
      <x:c r="A113" s="68" t="str">
        <x:v>DOWN</x:v>
      </x:c>
      <x:c r="B113" s="68" t="str">
        <x:v>2026-02-17</x:v>
      </x:c>
      <x:c r="C113" s="68" t="n">
        <x:v>15</x:v>
      </x:c>
      <x:c r="D113" s="68" t="n">
        <x:v>45</x:v>
      </x:c>
      <x:c r="E113" s="68" t="n">
        <x:v>42</x:v>
      </x:c>
      <x:c r="F113" s="68" t="n">
        <x:v>74</x:v>
      </x:c>
      <x:c r="G113" s="68" t="n">
        <x:v>116</x:v>
      </x:c>
      <x:c r="H113" s="82" t="n">
        <x:v>1153.11667</x:v>
      </x:c>
      <x:c r="I113" s="82" t="n">
        <x:v>772.95832</x:v>
      </x:c>
      <x:c r="J113" s="82" t="n">
        <x:v>830.074671</x:v>
      </x:c>
      <x:c r="K113" s="68" t="n">
        <x:f>E113-D113</x:f>
        <x:v>-3</x:v>
      </x:c>
      <x:c r="L113" s="68" t="n">
        <x:f>ABS(K113)</x:f>
        <x:v>3</x:v>
      </x:c>
    </x:row>
    <x:row r="114" ht="22" customHeight="1">
      <x:c r="A114" s="68" t="str">
        <x:v>DOWN</x:v>
      </x:c>
      <x:c r="B114" s="68" t="str">
        <x:v>2026-02-17</x:v>
      </x:c>
      <x:c r="C114" s="68" t="n">
        <x:v>16</x:v>
      </x:c>
      <x:c r="D114" s="68" t="n">
        <x:v>31</x:v>
      </x:c>
      <x:c r="E114" s="68" t="n">
        <x:v>33</x:v>
      </x:c>
      <x:c r="F114" s="68" t="n">
        <x:v>70</x:v>
      </x:c>
      <x:c r="G114" s="68" t="n">
        <x:v>103</x:v>
      </x:c>
      <x:c r="H114" s="82" t="n">
        <x:v>937.78333</x:v>
      </x:c>
      <x:c r="I114" s="82" t="n">
        <x:v>633.797491</x:v>
      </x:c>
      <x:c r="J114" s="82" t="n">
        <x:v>824.555536</x:v>
      </x:c>
      <x:c r="K114" s="68" t="n">
        <x:f>E114-D114</x:f>
        <x:v>2</x:v>
      </x:c>
      <x:c r="L114" s="68" t="n">
        <x:f>ABS(K114)</x:f>
        <x:v>2</x:v>
      </x:c>
    </x:row>
    <x:row r="115" ht="22" customHeight="1">
      <x:c r="A115" s="68" t="str">
        <x:v>DOWN</x:v>
      </x:c>
      <x:c r="B115" s="68" t="str">
        <x:v>2026-02-17</x:v>
      </x:c>
      <x:c r="C115" s="68" t="n">
        <x:v>17</x:v>
      </x:c>
      <x:c r="D115" s="68" t="n">
        <x:v>40</x:v>
      </x:c>
      <x:c r="E115" s="68" t="n">
        <x:v>27</x:v>
      </x:c>
      <x:c r="F115" s="68" t="n">
        <x:v>80</x:v>
      </x:c>
      <x:c r="G115" s="68" t="n">
        <x:v>107</x:v>
      </x:c>
      <x:c r="H115" s="82" t="n">
        <x:v>821.55002</x:v>
      </x:c>
      <x:c r="I115" s="82" t="n">
        <x:v>557.597362</x:v>
      </x:c>
      <x:c r="J115" s="82" t="n">
        <x:v>761.168461</x:v>
      </x:c>
      <x:c r="K115" s="68" t="n">
        <x:f>E115-D115</x:f>
        <x:v>-13</x:v>
      </x:c>
      <x:c r="L115" s="68" t="n">
        <x:f>ABS(K115)</x:f>
        <x:v>13</x:v>
      </x:c>
    </x:row>
    <x:row r="116" ht="22" customHeight="1">
      <x:c r="A116" s="68" t="str">
        <x:v>DOWN</x:v>
      </x:c>
      <x:c r="B116" s="68" t="str">
        <x:v>2026-02-17</x:v>
      </x:c>
      <x:c r="C116" s="68" t="n">
        <x:v>18</x:v>
      </x:c>
      <x:c r="D116" s="68" t="n">
        <x:v>35</x:v>
      </x:c>
      <x:c r="E116" s="68" t="n">
        <x:v>46</x:v>
      </x:c>
      <x:c r="F116" s="68" t="n">
        <x:v>68</x:v>
      </x:c>
      <x:c r="G116" s="68" t="n">
        <x:v>114</x:v>
      </x:c>
      <x:c r="H116" s="82" t="n">
        <x:v>1027.93334</x:v>
      </x:c>
      <x:c r="I116" s="82" t="n">
        <x:v>542.899988</x:v>
      </x:c>
      <x:c r="J116" s="82" t="n">
        <x:v>722.451354</x:v>
      </x:c>
      <x:c r="K116" s="68" t="n">
        <x:f>E116-D116</x:f>
        <x:v>11</x:v>
      </x:c>
      <x:c r="L116" s="68" t="n">
        <x:f>ABS(K116)</x:f>
        <x:v>11</x:v>
      </x:c>
    </x:row>
    <x:row r="117" ht="22" customHeight="1">
      <x:c r="A117" s="68" t="str">
        <x:v>DOWN</x:v>
      </x:c>
      <x:c r="B117" s="68" t="str">
        <x:v>2026-02-17</x:v>
      </x:c>
      <x:c r="C117" s="68" t="n">
        <x:v>19</x:v>
      </x:c>
      <x:c r="D117" s="68" t="n">
        <x:v>20</x:v>
      </x:c>
      <x:c r="E117" s="68" t="n">
        <x:v>32</x:v>
      </x:c>
      <x:c r="F117" s="68" t="n">
        <x:v>38</x:v>
      </x:c>
      <x:c r="G117" s="68" t="n">
        <x:v>70</x:v>
      </x:c>
      <x:c r="H117" s="82" t="n">
        <x:v>524.21666</x:v>
      </x:c>
      <x:c r="I117" s="82" t="n">
        <x:v>526.648434</x:v>
      </x:c>
      <x:c r="J117" s="82" t="n">
        <x:v>430.543229</x:v>
      </x:c>
      <x:c r="K117" s="68" t="n">
        <x:f>E117-D117</x:f>
        <x:v>12</x:v>
      </x:c>
      <x:c r="L117" s="68" t="n">
        <x:f>ABS(K117)</x:f>
        <x:v>12</x:v>
      </x:c>
    </x:row>
    <x:row r="118" ht="22" customHeight="1">
      <x:c r="A118" s="68" t="str">
        <x:v>DOWN</x:v>
      </x:c>
      <x:c r="B118" s="68" t="str">
        <x:v>2026-02-17</x:v>
      </x:c>
      <x:c r="C118" s="68" t="n">
        <x:v>20</x:v>
      </x:c>
      <x:c r="D118" s="68" t="n">
        <x:v>17</x:v>
      </x:c>
      <x:c r="E118" s="68" t="n">
        <x:v>26</x:v>
      </x:c>
      <x:c r="F118" s="68" t="n">
        <x:v>45</x:v>
      </x:c>
      <x:c r="G118" s="68" t="n">
        <x:v>71</x:v>
      </x:c>
      <x:c r="H118" s="82" t="n">
        <x:v>601.93332</x:v>
      </x:c>
      <x:c r="I118" s="82" t="n">
        <x:v>405.603108</x:v>
      </x:c>
      <x:c r="J118" s="82" t="n">
        <x:v>356.146725</x:v>
      </x:c>
      <x:c r="K118" s="68" t="n">
        <x:f>E118-D118</x:f>
        <x:v>9</x:v>
      </x:c>
      <x:c r="L118" s="68" t="n">
        <x:f>ABS(K118)</x:f>
        <x:v>9</x:v>
      </x:c>
    </x:row>
    <x:row r="119" ht="22" customHeight="1">
      <x:c r="A119" s="68" t="str">
        <x:v>DOWN</x:v>
      </x:c>
      <x:c r="B119" s="68" t="str">
        <x:v>2026-02-17</x:v>
      </x:c>
      <x:c r="C119" s="68" t="n">
        <x:v>21</x:v>
      </x:c>
      <x:c r="D119" s="68" t="n">
        <x:v>14</x:v>
      </x:c>
      <x:c r="E119" s="68" t="n">
        <x:v>24</x:v>
      </x:c>
      <x:c r="F119" s="68" t="n">
        <x:v>52</x:v>
      </x:c>
      <x:c r="G119" s="68" t="n">
        <x:v>76</x:v>
      </x:c>
      <x:c r="H119" s="82" t="n">
        <x:v>341.71666</x:v>
      </x:c>
      <x:c r="I119" s="82" t="n">
        <x:v>380.157303</x:v>
      </x:c>
      <x:c r="J119" s="82" t="n">
        <x:v>518.9096</x:v>
      </x:c>
      <x:c r="K119" s="68" t="n">
        <x:f>E119-D119</x:f>
        <x:v>10</x:v>
      </x:c>
      <x:c r="L119" s="68" t="n">
        <x:f>ABS(K119)</x:f>
        <x:v>10</x:v>
      </x:c>
    </x:row>
    <x:row r="120" ht="22" customHeight="1">
      <x:c r="A120" s="68" t="str">
        <x:v>DOWN</x:v>
      </x:c>
      <x:c r="B120" s="68" t="str">
        <x:v>2026-02-17</x:v>
      </x:c>
      <x:c r="C120" s="68" t="n">
        <x:v>22</x:v>
      </x:c>
      <x:c r="D120" s="68" t="n">
        <x:v>12</x:v>
      </x:c>
      <x:c r="E120" s="68" t="n">
        <x:v>20</x:v>
      </x:c>
      <x:c r="F120" s="68" t="n">
        <x:v>39</x:v>
      </x:c>
      <x:c r="G120" s="68" t="n">
        <x:v>59</x:v>
      </x:c>
      <x:c r="H120" s="82" t="n">
        <x:v>383.5</x:v>
      </x:c>
      <x:c r="I120" s="82" t="n">
        <x:v>206.306188</x:v>
      </x:c>
      <x:c r="J120" s="82" t="n">
        <x:v>281.72136</x:v>
      </x:c>
      <x:c r="K120" s="68" t="n">
        <x:f>E120-D120</x:f>
        <x:v>8</x:v>
      </x:c>
      <x:c r="L120" s="68" t="n">
        <x:f>ABS(K120)</x:f>
        <x:v>8</x:v>
      </x:c>
    </x:row>
    <x:row r="121" ht="22" customHeight="1">
      <x:c r="A121" s="68" t="str">
        <x:v>DOWN</x:v>
      </x:c>
      <x:c r="B121" s="68" t="str">
        <x:v>2026-02-17</x:v>
      </x:c>
      <x:c r="C121" s="68" t="n">
        <x:v>23</x:v>
      </x:c>
      <x:c r="D121" s="68" t="n">
        <x:v>10</x:v>
      </x:c>
      <x:c r="E121" s="68" t="n">
        <x:v>9</x:v>
      </x:c>
      <x:c r="F121" s="68" t="n">
        <x:v>19</x:v>
      </x:c>
      <x:c r="G121" s="68" t="n">
        <x:v>28</x:v>
      </x:c>
      <x:c r="H121" s="82" t="n">
        <x:v>359.4</x:v>
      </x:c>
      <x:c r="I121" s="82" t="n">
        <x:v>182.536262</x:v>
      </x:c>
      <x:c r="J121" s="82" t="n">
        <x:v>188.600898</x:v>
      </x:c>
      <x:c r="K121" s="68" t="n">
        <x:f>E121-D121</x:f>
        <x:v>-1</x:v>
      </x:c>
      <x:c r="L121" s="68" t="n">
        <x:f>ABS(K121)</x:f>
        <x:v>1</x:v>
      </x:c>
    </x:row>
    <x:row r="122" ht="22" customHeight="1">
      <x:c r="A122" s="68" t="str">
        <x:v>DOWN</x:v>
      </x:c>
      <x:c r="B122" s="68" t="str">
        <x:v>2026-02-18</x:v>
      </x:c>
      <x:c r="C122" s="68" t="n">
        <x:v>0</x:v>
      </x:c>
      <x:c r="D122" s="68" t="n">
        <x:v>6</x:v>
      </x:c>
      <x:c r="E122" s="68" t="n">
        <x:v>1</x:v>
      </x:c>
      <x:c r="F122" s="68" t="n">
        <x:v>8</x:v>
      </x:c>
      <x:c r="G122" s="68" t="n">
        <x:v>9</x:v>
      </x:c>
      <x:c r="H122" s="82" t="n">
        <x:v>241.8</x:v>
      </x:c>
      <x:c r="I122" s="82" t="n">
        <x:v>7.010048</x:v>
      </x:c>
      <x:c r="J122" s="82" t="n">
        <x:v>32.949882</x:v>
      </x:c>
      <x:c r="K122" s="68" t="n">
        <x:f>E122-D122</x:f>
        <x:v>-5</x:v>
      </x:c>
      <x:c r="L122" s="68" t="n">
        <x:f>ABS(K122)</x:f>
        <x:v>5</x:v>
      </x:c>
    </x:row>
    <x:row r="123" ht="22" customHeight="1">
      <x:c r="A123" s="68" t="str">
        <x:v>DOWN</x:v>
      </x:c>
      <x:c r="B123" s="68" t="str">
        <x:v>2026-02-18</x:v>
      </x:c>
      <x:c r="C123" s="68" t="n">
        <x:v>1</x:v>
      </x:c>
      <x:c r="D123" s="68" t="n">
        <x:v>4</x:v>
      </x:c>
      <x:c r="E123" s="68" t="n">
        <x:v>4</x:v>
      </x:c>
      <x:c r="F123" s="68" t="n">
        <x:v>4</x:v>
      </x:c>
      <x:c r="G123" s="68" t="n">
        <x:v>8</x:v>
      </x:c>
      <x:c r="H123" s="82" t="n">
        <x:v>166.55</x:v>
      </x:c>
      <x:c r="I123" s="82" t="n">
        <x:v>45.155271</x:v>
      </x:c>
      <x:c r="J123" s="82" t="n">
        <x:v>32.828209</x:v>
      </x:c>
      <x:c r="K123" s="68" t="n">
        <x:f>E123-D123</x:f>
        <x:v>0</x:v>
      </x:c>
      <x:c r="L123" s="68" t="n">
        <x:f>ABS(K123)</x:f>
        <x:v>0</x:v>
      </x:c>
    </x:row>
    <x:row r="124" ht="22" customHeight="1">
      <x:c r="A124" s="68" t="str">
        <x:v>DOWN</x:v>
      </x:c>
      <x:c r="B124" s="68" t="str">
        <x:v>2026-02-18</x:v>
      </x:c>
      <x:c r="C124" s="68" t="n">
        <x:v>2</x:v>
      </x:c>
      <x:c r="D124" s="68" t="n">
        <x:v>3</x:v>
      </x:c>
      <x:c r="E124" s="68" t="n">
        <x:v>4</x:v>
      </x:c>
      <x:c r="F124" s="68" t="n">
        <x:v>6</x:v>
      </x:c>
      <x:c r="G124" s="68" t="n">
        <x:v>10</x:v>
      </x:c>
      <x:c r="H124" s="82" t="n">
        <x:v>145.11667</x:v>
      </x:c>
      <x:c r="I124" s="82" t="n">
        <x:v>53.445341</x:v>
      </x:c>
      <x:c r="J124" s="82" t="n">
        <x:v>48.02907</x:v>
      </x:c>
      <x:c r="K124" s="68" t="n">
        <x:f>E124-D124</x:f>
        <x:v>1</x:v>
      </x:c>
      <x:c r="L124" s="68" t="n">
        <x:f>ABS(K124)</x:f>
        <x:v>1</x:v>
      </x:c>
    </x:row>
    <x:row r="125" ht="22" customHeight="1">
      <x:c r="A125" s="68" t="str">
        <x:v>DOWN</x:v>
      </x:c>
      <x:c r="B125" s="68" t="str">
        <x:v>2026-02-18</x:v>
      </x:c>
      <x:c r="C125" s="68" t="n">
        <x:v>3</x:v>
      </x:c>
      <x:c r="D125" s="68" t="n">
        <x:v>3</x:v>
      </x:c>
      <x:c r="E125" s="68" t="n">
        <x:v>2</x:v>
      </x:c>
      <x:c r="F125" s="68" t="n">
        <x:v>4</x:v>
      </x:c>
      <x:c r="G125" s="68" t="n">
        <x:v>6</x:v>
      </x:c>
      <x:c r="H125" s="82" t="n">
        <x:v>102.86667</x:v>
      </x:c>
      <x:c r="I125" s="82" t="n">
        <x:v>33.816205</x:v>
      </x:c>
      <x:c r="J125" s="82" t="n">
        <x:v>44.035725</x:v>
      </x:c>
      <x:c r="K125" s="68" t="n">
        <x:f>E125-D125</x:f>
        <x:v>-1</x:v>
      </x:c>
      <x:c r="L125" s="68" t="n">
        <x:f>ABS(K125)</x:f>
        <x:v>1</x:v>
      </x:c>
    </x:row>
    <x:row r="126" ht="22" customHeight="1">
      <x:c r="A126" s="68" t="str">
        <x:v>DOWN</x:v>
      </x:c>
      <x:c r="B126" s="68" t="str">
        <x:v>2026-02-18</x:v>
      </x:c>
      <x:c r="C126" s="68" t="n">
        <x:v>4</x:v>
      </x:c>
      <x:c r="D126" s="68" t="n">
        <x:v>3</x:v>
      </x:c>
      <x:c r="E126" s="68" t="n">
        <x:v>4</x:v>
      </x:c>
      <x:c r="F126" s="68" t="n">
        <x:v>9</x:v>
      </x:c>
      <x:c r="G126" s="68" t="n">
        <x:v>13</x:v>
      </x:c>
      <x:c r="H126" s="82" t="n">
        <x:v>119.43333</x:v>
      </x:c>
      <x:c r="I126" s="82" t="n">
        <x:v>54.720244</x:v>
      </x:c>
      <x:c r="J126" s="82" t="n">
        <x:v>60.516194</x:v>
      </x:c>
      <x:c r="K126" s="68" t="n">
        <x:f>E126-D126</x:f>
        <x:v>1</x:v>
      </x:c>
      <x:c r="L126" s="68" t="n">
        <x:f>ABS(K126)</x:f>
        <x:v>1</x:v>
      </x:c>
    </x:row>
    <x:row r="127" ht="22" customHeight="1">
      <x:c r="A127" s="68" t="str">
        <x:v>DOWN</x:v>
      </x:c>
      <x:c r="B127" s="68" t="str">
        <x:v>2026-02-18</x:v>
      </x:c>
      <x:c r="C127" s="68" t="n">
        <x:v>5</x:v>
      </x:c>
      <x:c r="D127" s="68" t="n">
        <x:v>3</x:v>
      </x:c>
      <x:c r="E127" s="68" t="n">
        <x:v>4</x:v>
      </x:c>
      <x:c r="F127" s="68" t="n">
        <x:v>6</x:v>
      </x:c>
      <x:c r="G127" s="68" t="n">
        <x:v>10</x:v>
      </x:c>
      <x:c r="H127" s="82" t="n">
        <x:v>148.58333</x:v>
      </x:c>
      <x:c r="I127" s="82" t="n">
        <x:v>28.523243</x:v>
      </x:c>
      <x:c r="J127" s="82" t="n">
        <x:v>55.855106</x:v>
      </x:c>
      <x:c r="K127" s="68" t="n">
        <x:f>E127-D127</x:f>
        <x:v>1</x:v>
      </x:c>
      <x:c r="L127" s="68" t="n">
        <x:f>ABS(K127)</x:f>
        <x:v>1</x:v>
      </x:c>
    </x:row>
    <x:row r="128" ht="22" customHeight="1">
      <x:c r="A128" s="68" t="str">
        <x:v>DOWN</x:v>
      </x:c>
      <x:c r="B128" s="68" t="str">
        <x:v>2026-02-18</x:v>
      </x:c>
      <x:c r="C128" s="68" t="n">
        <x:v>6</x:v>
      </x:c>
      <x:c r="D128" s="68" t="n">
        <x:v>5</x:v>
      </x:c>
      <x:c r="E128" s="68" t="n">
        <x:v>2</x:v>
      </x:c>
      <x:c r="F128" s="68" t="n">
        <x:v>8</x:v>
      </x:c>
      <x:c r="G128" s="68" t="n">
        <x:v>10</x:v>
      </x:c>
      <x:c r="H128" s="82" t="n">
        <x:v>199.10001</x:v>
      </x:c>
      <x:c r="I128" s="82" t="n">
        <x:v>30.541604</x:v>
      </x:c>
      <x:c r="J128" s="82" t="n">
        <x:v>65.947682</x:v>
      </x:c>
      <x:c r="K128" s="68" t="n">
        <x:f>E128-D128</x:f>
        <x:v>-3</x:v>
      </x:c>
      <x:c r="L128" s="68" t="n">
        <x:f>ABS(K128)</x:f>
        <x:v>3</x:v>
      </x:c>
    </x:row>
    <x:row r="129" ht="22" customHeight="1">
      <x:c r="A129" s="68" t="str">
        <x:v>DOWN</x:v>
      </x:c>
      <x:c r="B129" s="68" t="str">
        <x:v>2026-02-18</x:v>
      </x:c>
      <x:c r="C129" s="68" t="n">
        <x:v>7</x:v>
      </x:c>
      <x:c r="D129" s="68" t="n">
        <x:v>7</x:v>
      </x:c>
      <x:c r="E129" s="68" t="n">
        <x:v>6</x:v>
      </x:c>
      <x:c r="F129" s="68" t="n">
        <x:v>30</x:v>
      </x:c>
      <x:c r="G129" s="68" t="n">
        <x:v>36</x:v>
      </x:c>
      <x:c r="H129" s="82" t="n">
        <x:v>335.68333</x:v>
      </x:c>
      <x:c r="I129" s="82" t="n">
        <x:v>57.08184</x:v>
      </x:c>
      <x:c r="J129" s="82" t="n">
        <x:v>124.721671</x:v>
      </x:c>
      <x:c r="K129" s="68" t="n">
        <x:f>E129-D129</x:f>
        <x:v>-1</x:v>
      </x:c>
      <x:c r="L129" s="68" t="n">
        <x:f>ABS(K129)</x:f>
        <x:v>1</x:v>
      </x:c>
    </x:row>
    <x:row r="130" ht="22" customHeight="1">
      <x:c r="A130" s="68" t="str">
        <x:v>DOWN</x:v>
      </x:c>
      <x:c r="B130" s="68" t="str">
        <x:v>2026-02-18</x:v>
      </x:c>
      <x:c r="C130" s="68" t="n">
        <x:v>8</x:v>
      </x:c>
      <x:c r="D130" s="68" t="n">
        <x:v>12</x:v>
      </x:c>
      <x:c r="E130" s="68" t="n">
        <x:v>7</x:v>
      </x:c>
      <x:c r="F130" s="68" t="n">
        <x:v>20</x:v>
      </x:c>
      <x:c r="G130" s="68" t="n">
        <x:v>27</x:v>
      </x:c>
      <x:c r="H130" s="82" t="n">
        <x:v>432.24999</x:v>
      </x:c>
      <x:c r="I130" s="82" t="n">
        <x:v>64.132815</x:v>
      </x:c>
      <x:c r="J130" s="82" t="n">
        <x:v>140.677879</x:v>
      </x:c>
      <x:c r="K130" s="68" t="n">
        <x:f>E130-D130</x:f>
        <x:v>-5</x:v>
      </x:c>
      <x:c r="L130" s="68" t="n">
        <x:f>ABS(K130)</x:f>
        <x:v>5</x:v>
      </x:c>
    </x:row>
    <x:row r="131" ht="22" customHeight="1">
      <x:c r="A131" s="68" t="str">
        <x:v>DOWN</x:v>
      </x:c>
      <x:c r="B131" s="68" t="str">
        <x:v>2026-02-18</x:v>
      </x:c>
      <x:c r="C131" s="68" t="n">
        <x:v>9</x:v>
      </x:c>
      <x:c r="D131" s="68" t="n">
        <x:v>22</x:v>
      </x:c>
      <x:c r="E131" s="68" t="n">
        <x:v>5</x:v>
      </x:c>
      <x:c r="F131" s="68" t="n">
        <x:v>30</x:v>
      </x:c>
      <x:c r="G131" s="68" t="n">
        <x:v>35</x:v>
      </x:c>
      <x:c r="H131" s="82" t="n">
        <x:v>541.93334</x:v>
      </x:c>
      <x:c r="I131" s="82" t="n">
        <x:v>60.734187</x:v>
      </x:c>
      <x:c r="J131" s="82" t="n">
        <x:v>123.509775</x:v>
      </x:c>
      <x:c r="K131" s="68" t="n">
        <x:f>E131-D131</x:f>
        <x:v>-17</x:v>
      </x:c>
      <x:c r="L131" s="68" t="n">
        <x:f>ABS(K131)</x:f>
        <x:v>17</x:v>
      </x:c>
    </x:row>
    <x:row r="132" ht="22" customHeight="1">
      <x:c r="A132" s="68" t="str">
        <x:v>DOWN</x:v>
      </x:c>
      <x:c r="B132" s="68" t="str">
        <x:v>2026-02-18</x:v>
      </x:c>
      <x:c r="C132" s="68" t="n">
        <x:v>10</x:v>
      </x:c>
      <x:c r="D132" s="68" t="n">
        <x:v>21</x:v>
      </x:c>
      <x:c r="E132" s="68" t="n">
        <x:v>13</x:v>
      </x:c>
      <x:c r="F132" s="68" t="n">
        <x:v>41</x:v>
      </x:c>
      <x:c r="G132" s="68" t="n">
        <x:v>54</x:v>
      </x:c>
      <x:c r="H132" s="82" t="n">
        <x:v>768.50001</x:v>
      </x:c>
      <x:c r="I132" s="82" t="n">
        <x:v>98.249227</x:v>
      </x:c>
      <x:c r="J132" s="82" t="n">
        <x:v>236.249366</x:v>
      </x:c>
      <x:c r="K132" s="68" t="n">
        <x:f>E132-D132</x:f>
        <x:v>-8</x:v>
      </x:c>
      <x:c r="L132" s="68" t="n">
        <x:f>ABS(K132)</x:f>
        <x:v>8</x:v>
      </x:c>
    </x:row>
    <x:row r="133" ht="22" customHeight="1">
      <x:c r="A133" s="68" t="str">
        <x:v>DOWN</x:v>
      </x:c>
      <x:c r="B133" s="68" t="str">
        <x:v>2026-02-18</x:v>
      </x:c>
      <x:c r="C133" s="68" t="n">
        <x:v>11</x:v>
      </x:c>
      <x:c r="D133" s="68" t="n">
        <x:v>25</x:v>
      </x:c>
      <x:c r="E133" s="68" t="n">
        <x:v>27</x:v>
      </x:c>
      <x:c r="F133" s="68" t="n">
        <x:v>57</x:v>
      </x:c>
      <x:c r="G133" s="68" t="n">
        <x:v>84</x:v>
      </x:c>
      <x:c r="H133" s="82" t="n">
        <x:v>734.75</x:v>
      </x:c>
      <x:c r="I133" s="82" t="n">
        <x:v>289.719392</x:v>
      </x:c>
      <x:c r="J133" s="82" t="n">
        <x:v>431.240587</x:v>
      </x:c>
      <x:c r="K133" s="68" t="n">
        <x:f>E133-D133</x:f>
        <x:v>2</x:v>
      </x:c>
      <x:c r="L133" s="68" t="n">
        <x:f>ABS(K133)</x:f>
        <x:v>2</x:v>
      </x:c>
    </x:row>
    <x:row r="134" ht="22" customHeight="1">
      <x:c r="A134" s="68" t="str">
        <x:v>DOWN</x:v>
      </x:c>
      <x:c r="B134" s="68" t="str">
        <x:v>2026-02-18</x:v>
      </x:c>
      <x:c r="C134" s="68" t="n">
        <x:v>12</x:v>
      </x:c>
      <x:c r="D134" s="68" t="n">
        <x:v>27</x:v>
      </x:c>
      <x:c r="E134" s="68" t="n">
        <x:v>27</x:v>
      </x:c>
      <x:c r="F134" s="68" t="n">
        <x:v>53</x:v>
      </x:c>
      <x:c r="G134" s="68" t="n">
        <x:v>80</x:v>
      </x:c>
      <x:c r="H134" s="82" t="n">
        <x:v>839.29999</x:v>
      </x:c>
      <x:c r="I134" s="82" t="n">
        <x:v>316.608543</x:v>
      </x:c>
      <x:c r="J134" s="82" t="n">
        <x:v>544.123835</x:v>
      </x:c>
      <x:c r="K134" s="68" t="n">
        <x:f>E134-D134</x:f>
        <x:v>0</x:v>
      </x:c>
      <x:c r="L134" s="68" t="n">
        <x:f>ABS(K134)</x:f>
        <x:v>0</x:v>
      </x:c>
    </x:row>
    <x:row r="135" ht="22" customHeight="1">
      <x:c r="A135" s="68" t="str">
        <x:v>DOWN</x:v>
      </x:c>
      <x:c r="B135" s="68" t="str">
        <x:v>2026-02-18</x:v>
      </x:c>
      <x:c r="C135" s="68" t="n">
        <x:v>13</x:v>
      </x:c>
      <x:c r="D135" s="68" t="n">
        <x:v>26</x:v>
      </x:c>
      <x:c r="E135" s="68" t="n">
        <x:v>30</x:v>
      </x:c>
      <x:c r="F135" s="68" t="n">
        <x:v>55</x:v>
      </x:c>
      <x:c r="G135" s="68" t="n">
        <x:v>85</x:v>
      </x:c>
      <x:c r="H135" s="82" t="n">
        <x:v>787.99999</x:v>
      </x:c>
      <x:c r="I135" s="82" t="n">
        <x:v>386.676034</x:v>
      </x:c>
      <x:c r="J135" s="82" t="n">
        <x:v>517.420371</x:v>
      </x:c>
      <x:c r="K135" s="68" t="n">
        <x:f>E135-D135</x:f>
        <x:v>4</x:v>
      </x:c>
      <x:c r="L135" s="68" t="n">
        <x:f>ABS(K135)</x:f>
        <x:v>4</x:v>
      </x:c>
    </x:row>
    <x:row r="136" ht="22" customHeight="1">
      <x:c r="A136" s="68" t="str">
        <x:v>DOWN</x:v>
      </x:c>
      <x:c r="B136" s="68" t="str">
        <x:v>2026-02-18</x:v>
      </x:c>
      <x:c r="C136" s="68" t="n">
        <x:v>14</x:v>
      </x:c>
      <x:c r="D136" s="68" t="n">
        <x:v>21</x:v>
      </x:c>
      <x:c r="E136" s="68" t="n">
        <x:v>31</x:v>
      </x:c>
      <x:c r="F136" s="68" t="n">
        <x:v>58</x:v>
      </x:c>
      <x:c r="G136" s="68" t="n">
        <x:v>89</x:v>
      </x:c>
      <x:c r="H136" s="82" t="n">
        <x:v>520.86667</x:v>
      </x:c>
      <x:c r="I136" s="82" t="n">
        <x:v>415.058013</x:v>
      </x:c>
      <x:c r="J136" s="82" t="n">
        <x:v>679.447591</x:v>
      </x:c>
      <x:c r="K136" s="68" t="n">
        <x:f>E136-D136</x:f>
        <x:v>10</x:v>
      </x:c>
      <x:c r="L136" s="68" t="n">
        <x:f>ABS(K136)</x:f>
        <x:v>10</x:v>
      </x:c>
    </x:row>
    <x:row r="137" ht="22" customHeight="1">
      <x:c r="A137" s="68" t="str">
        <x:v>DOWN</x:v>
      </x:c>
      <x:c r="B137" s="68" t="str">
        <x:v>2026-02-18</x:v>
      </x:c>
      <x:c r="C137" s="68" t="n">
        <x:v>15</x:v>
      </x:c>
      <x:c r="D137" s="68" t="n">
        <x:v>29</x:v>
      </x:c>
      <x:c r="E137" s="68" t="n">
        <x:v>43</x:v>
      </x:c>
      <x:c r="F137" s="68" t="n">
        <x:v>63</x:v>
      </x:c>
      <x:c r="G137" s="68" t="n">
        <x:v>106</x:v>
      </x:c>
      <x:c r="H137" s="82" t="n">
        <x:v>708.2</x:v>
      </x:c>
      <x:c r="I137" s="82" t="n">
        <x:v>458.969381</x:v>
      </x:c>
      <x:c r="J137" s="82" t="n">
        <x:v>592.298409</x:v>
      </x:c>
      <x:c r="K137" s="68" t="n">
        <x:f>E137-D137</x:f>
        <x:v>14</x:v>
      </x:c>
      <x:c r="L137" s="68" t="n">
        <x:f>ABS(K137)</x:f>
        <x:v>14</x:v>
      </x:c>
    </x:row>
    <x:row r="138" ht="22" customHeight="1">
      <x:c r="A138" s="68" t="str">
        <x:v>DOWN</x:v>
      </x:c>
      <x:c r="B138" s="68" t="str">
        <x:v>2026-02-18</x:v>
      </x:c>
      <x:c r="C138" s="68" t="n">
        <x:v>16</x:v>
      </x:c>
      <x:c r="D138" s="68" t="n">
        <x:v>37</x:v>
      </x:c>
      <x:c r="E138" s="68" t="n">
        <x:v>35</x:v>
      </x:c>
      <x:c r="F138" s="68" t="n">
        <x:v>54</x:v>
      </x:c>
      <x:c r="G138" s="68" t="n">
        <x:v>89</x:v>
      </x:c>
      <x:c r="H138" s="82" t="n">
        <x:v>681.66667</x:v>
      </x:c>
      <x:c r="I138" s="82" t="n">
        <x:v>487.540265</x:v>
      </x:c>
      <x:c r="J138" s="82" t="n">
        <x:v>582.927965</x:v>
      </x:c>
      <x:c r="K138" s="68" t="n">
        <x:f>E138-D138</x:f>
        <x:v>-2</x:v>
      </x:c>
      <x:c r="L138" s="68" t="n">
        <x:f>ABS(K138)</x:f>
        <x:v>2</x:v>
      </x:c>
    </x:row>
    <x:row r="139" ht="22" customHeight="1">
      <x:c r="A139" s="68" t="str">
        <x:v>DOWN</x:v>
      </x:c>
      <x:c r="B139" s="68" t="str">
        <x:v>2026-02-18</x:v>
      </x:c>
      <x:c r="C139" s="68" t="n">
        <x:v>17</x:v>
      </x:c>
      <x:c r="D139" s="68" t="n">
        <x:v>26</x:v>
      </x:c>
      <x:c r="E139" s="68" t="n">
        <x:v>35</x:v>
      </x:c>
      <x:c r="F139" s="68" t="n">
        <x:v>63</x:v>
      </x:c>
      <x:c r="G139" s="68" t="n">
        <x:v>98</x:v>
      </x:c>
      <x:c r="H139" s="82" t="n">
        <x:v>714.63333</x:v>
      </x:c>
      <x:c r="I139" s="82" t="n">
        <x:v>501.027159</x:v>
      </x:c>
      <x:c r="J139" s="82" t="n">
        <x:v>654.664938</x:v>
      </x:c>
      <x:c r="K139" s="68" t="n">
        <x:f>E139-D139</x:f>
        <x:v>9</x:v>
      </x:c>
      <x:c r="L139" s="68" t="n">
        <x:f>ABS(K139)</x:f>
        <x:v>9</x:v>
      </x:c>
    </x:row>
    <x:row r="140" ht="22" customHeight="1">
      <x:c r="A140" s="68" t="str">
        <x:v>DOWN</x:v>
      </x:c>
      <x:c r="B140" s="68" t="str">
        <x:v>2026-02-18</x:v>
      </x:c>
      <x:c r="C140" s="68" t="n">
        <x:v>18</x:v>
      </x:c>
      <x:c r="D140" s="68" t="n">
        <x:v>16</x:v>
      </x:c>
      <x:c r="E140" s="68" t="n">
        <x:v>32</x:v>
      </x:c>
      <x:c r="F140" s="68" t="n">
        <x:v>45</x:v>
      </x:c>
      <x:c r="G140" s="68" t="n">
        <x:v>77</x:v>
      </x:c>
      <x:c r="H140" s="82" t="n">
        <x:v>482.33334</x:v>
      </x:c>
      <x:c r="I140" s="82" t="n">
        <x:v>396.933653</x:v>
      </x:c>
      <x:c r="J140" s="82" t="n">
        <x:v>457.482975</x:v>
      </x:c>
      <x:c r="K140" s="68" t="n">
        <x:f>E140-D140</x:f>
        <x:v>16</x:v>
      </x:c>
      <x:c r="L140" s="68" t="n">
        <x:f>ABS(K140)</x:f>
        <x:v>16</x:v>
      </x:c>
    </x:row>
    <x:row r="141" ht="22" customHeight="1">
      <x:c r="A141" s="68" t="str">
        <x:v>DOWN</x:v>
      </x:c>
      <x:c r="B141" s="68" t="str">
        <x:v>2026-02-18</x:v>
      </x:c>
      <x:c r="C141" s="68" t="n">
        <x:v>19</x:v>
      </x:c>
      <x:c r="D141" s="68" t="n">
        <x:v>19</x:v>
      </x:c>
      <x:c r="E141" s="68" t="n">
        <x:v>32</x:v>
      </x:c>
      <x:c r="F141" s="68" t="n">
        <x:v>41</x:v>
      </x:c>
      <x:c r="G141" s="68" t="n">
        <x:v>73</x:v>
      </x:c>
      <x:c r="H141" s="82" t="n">
        <x:v>499.34999</x:v>
      </x:c>
      <x:c r="I141" s="82" t="n">
        <x:v>554.917132</x:v>
      </x:c>
      <x:c r="J141" s="82" t="n">
        <x:v>482.934147</x:v>
      </x:c>
      <x:c r="K141" s="68" t="n">
        <x:f>E141-D141</x:f>
        <x:v>13</x:v>
      </x:c>
      <x:c r="L141" s="68" t="n">
        <x:f>ABS(K141)</x:f>
        <x:v>13</x:v>
      </x:c>
    </x:row>
    <x:row r="142" ht="22" customHeight="1">
      <x:c r="A142" s="68" t="str">
        <x:v>DOWN</x:v>
      </x:c>
      <x:c r="B142" s="68" t="str">
        <x:v>2026-02-18</x:v>
      </x:c>
      <x:c r="C142" s="68" t="n">
        <x:v>20</x:v>
      </x:c>
      <x:c r="D142" s="68" t="n">
        <x:v>12</x:v>
      </x:c>
      <x:c r="E142" s="68" t="n">
        <x:v>23</x:v>
      </x:c>
      <x:c r="F142" s="68" t="n">
        <x:v>50</x:v>
      </x:c>
      <x:c r="G142" s="68" t="n">
        <x:v>73</x:v>
      </x:c>
      <x:c r="H142" s="82" t="n">
        <x:v>332.76667</x:v>
      </x:c>
      <x:c r="I142" s="82" t="n">
        <x:v>289.686388</x:v>
      </x:c>
      <x:c r="J142" s="82" t="n">
        <x:v>442.439393</x:v>
      </x:c>
      <x:c r="K142" s="68" t="n">
        <x:f>E142-D142</x:f>
        <x:v>11</x:v>
      </x:c>
      <x:c r="L142" s="68" t="n">
        <x:f>ABS(K142)</x:f>
        <x:v>11</x:v>
      </x:c>
    </x:row>
    <x:row r="143" ht="22" customHeight="1">
      <x:c r="A143" s="68" t="str">
        <x:v>DOWN</x:v>
      </x:c>
      <x:c r="B143" s="68" t="str">
        <x:v>2026-02-18</x:v>
      </x:c>
      <x:c r="C143" s="68" t="n">
        <x:v>21</x:v>
      </x:c>
      <x:c r="D143" s="68" t="n">
        <x:v>8</x:v>
      </x:c>
      <x:c r="E143" s="68" t="n">
        <x:v>24</x:v>
      </x:c>
      <x:c r="F143" s="68" t="n">
        <x:v>48</x:v>
      </x:c>
      <x:c r="G143" s="68" t="n">
        <x:v>72</x:v>
      </x:c>
      <x:c r="H143" s="82" t="n">
        <x:v>252.36666</x:v>
      </x:c>
      <x:c r="I143" s="82" t="n">
        <x:v>293.384935</x:v>
      </x:c>
      <x:c r="J143" s="82" t="n">
        <x:v>443.72812</x:v>
      </x:c>
      <x:c r="K143" s="68" t="n">
        <x:f>E143-D143</x:f>
        <x:v>16</x:v>
      </x:c>
      <x:c r="L143" s="68" t="n">
        <x:f>ABS(K143)</x:f>
        <x:v>16</x:v>
      </x:c>
    </x:row>
    <x:row r="144" ht="22" customHeight="1">
      <x:c r="A144" s="68" t="str">
        <x:v>DOWN</x:v>
      </x:c>
      <x:c r="B144" s="68" t="str">
        <x:v>2026-02-18</x:v>
      </x:c>
      <x:c r="C144" s="68" t="n">
        <x:v>22</x:v>
      </x:c>
      <x:c r="D144" s="68" t="n">
        <x:v>8</x:v>
      </x:c>
      <x:c r="E144" s="68" t="n">
        <x:v>16</x:v>
      </x:c>
      <x:c r="F144" s="68" t="n">
        <x:v>29</x:v>
      </x:c>
      <x:c r="G144" s="68" t="n">
        <x:v>45</x:v>
      </x:c>
      <x:c r="H144" s="82" t="n">
        <x:v>256.61667</x:v>
      </x:c>
      <x:c r="I144" s="82" t="n">
        <x:v>166.33549</x:v>
      </x:c>
      <x:c r="J144" s="82" t="n">
        <x:v>276.801586</x:v>
      </x:c>
      <x:c r="K144" s="68" t="n">
        <x:f>E144-D144</x:f>
        <x:v>8</x:v>
      </x:c>
      <x:c r="L144" s="68" t="n">
        <x:f>ABS(K144)</x:f>
        <x:v>8</x:v>
      </x:c>
    </x:row>
    <x:row r="145" ht="22" customHeight="1">
      <x:c r="A145" s="68" t="str">
        <x:v>DOWN</x:v>
      </x:c>
      <x:c r="B145" s="68" t="str">
        <x:v>2026-02-18</x:v>
      </x:c>
      <x:c r="C145" s="68" t="n">
        <x:v>23</x:v>
      </x:c>
      <x:c r="D145" s="68" t="n">
        <x:v>6</x:v>
      </x:c>
      <x:c r="E145" s="68" t="n">
        <x:v>4</x:v>
      </x:c>
      <x:c r="F145" s="68" t="n">
        <x:v>24</x:v>
      </x:c>
      <x:c r="G145" s="68" t="n">
        <x:v>28</x:v>
      </x:c>
      <x:c r="H145" s="82" t="n">
        <x:v>235.75</x:v>
      </x:c>
      <x:c r="I145" s="82" t="n">
        <x:v>72.523546</x:v>
      </x:c>
      <x:c r="J145" s="82" t="n">
        <x:v>205.058135</x:v>
      </x:c>
      <x:c r="K145" s="68" t="n">
        <x:f>E145-D145</x:f>
        <x:v>-2</x:v>
      </x:c>
      <x:c r="L145" s="68" t="n">
        <x:f>ABS(K145)</x:f>
        <x:v>2</x:v>
      </x:c>
    </x:row>
    <x:row r="146" ht="22" customHeight="1">
      <x:c r="A146" s="68" t="str">
        <x:v>DOWN</x:v>
      </x:c>
      <x:c r="B146" s="68" t="str">
        <x:v>2026-02-19</x:v>
      </x:c>
      <x:c r="C146" s="68" t="n">
        <x:v>0</x:v>
      </x:c>
      <x:c r="D146" s="68" t="n">
        <x:v>5</x:v>
      </x:c>
      <x:c r="E146" s="68" t="n">
        <x:v>0</x:v>
      </x:c>
      <x:c r="F146" s="68" t="n">
        <x:v>7</x:v>
      </x:c>
      <x:c r="G146" s="68" t="n">
        <x:v>7</x:v>
      </x:c>
      <x:c r="H146" s="82" t="n">
        <x:v>240.45001</x:v>
      </x:c>
      <x:c r="I146" s="82" t="n">
        <x:v>0</x:v>
      </x:c>
      <x:c r="J146" s="82" t="n">
        <x:v>24.348626</x:v>
      </x:c>
      <x:c r="K146" s="68" t="n">
        <x:f>E146-D146</x:f>
        <x:v>-5</x:v>
      </x:c>
      <x:c r="L146" s="68" t="n">
        <x:f>ABS(K146)</x:f>
        <x:v>5</x:v>
      </x:c>
    </x:row>
    <x:row r="147" ht="22" customHeight="1">
      <x:c r="A147" s="68" t="str">
        <x:v>DOWN</x:v>
      </x:c>
      <x:c r="B147" s="68" t="str">
        <x:v>2026-02-19</x:v>
      </x:c>
      <x:c r="C147" s="68" t="n">
        <x:v>1</x:v>
      </x:c>
      <x:c r="D147" s="68" t="n">
        <x:v>3</x:v>
      </x:c>
      <x:c r="E147" s="68" t="n">
        <x:v>3</x:v>
      </x:c>
      <x:c r="F147" s="68" t="n">
        <x:v>9</x:v>
      </x:c>
      <x:c r="G147" s="68" t="n">
        <x:v>12</x:v>
      </x:c>
      <x:c r="H147" s="82" t="n">
        <x:v>198.75001</x:v>
      </x:c>
      <x:c r="I147" s="82" t="n">
        <x:v>22.399199</x:v>
      </x:c>
      <x:c r="J147" s="82" t="n">
        <x:v>63.626493</x:v>
      </x:c>
      <x:c r="K147" s="68" t="n">
        <x:f>E147-D147</x:f>
        <x:v>0</x:v>
      </x:c>
      <x:c r="L147" s="68" t="n">
        <x:f>ABS(K147)</x:f>
        <x:v>0</x:v>
      </x:c>
    </x:row>
    <x:row r="148" ht="22" customHeight="1">
      <x:c r="A148" s="68" t="str">
        <x:v>DOWN</x:v>
      </x:c>
      <x:c r="B148" s="68" t="str">
        <x:v>2026-02-19</x:v>
      </x:c>
      <x:c r="C148" s="68" t="n">
        <x:v>2</x:v>
      </x:c>
      <x:c r="D148" s="68" t="n">
        <x:v>3</x:v>
      </x:c>
      <x:c r="E148" s="68" t="n">
        <x:v>2</x:v>
      </x:c>
      <x:c r="F148" s="68" t="n">
        <x:v>11</x:v>
      </x:c>
      <x:c r="G148" s="68" t="n">
        <x:v>13</x:v>
      </x:c>
      <x:c r="H148" s="82" t="n">
        <x:v>168.65</x:v>
      </x:c>
      <x:c r="I148" s="82" t="n">
        <x:v>30.493153</x:v>
      </x:c>
      <x:c r="J148" s="82" t="n">
        <x:v>153.075625</x:v>
      </x:c>
      <x:c r="K148" s="68" t="n">
        <x:f>E148-D148</x:f>
        <x:v>-1</x:v>
      </x:c>
      <x:c r="L148" s="68" t="n">
        <x:f>ABS(K148)</x:f>
        <x:v>1</x:v>
      </x:c>
    </x:row>
    <x:row r="149" ht="22" customHeight="1">
      <x:c r="A149" s="68" t="str">
        <x:v>DOWN</x:v>
      </x:c>
      <x:c r="B149" s="68" t="str">
        <x:v>2026-02-19</x:v>
      </x:c>
      <x:c r="C149" s="68" t="n">
        <x:v>3</x:v>
      </x:c>
      <x:c r="D149" s="68" t="n">
        <x:v>2</x:v>
      </x:c>
      <x:c r="E149" s="68" t="n">
        <x:v>4</x:v>
      </x:c>
      <x:c r="F149" s="68" t="n">
        <x:v>5</x:v>
      </x:c>
      <x:c r="G149" s="68" t="n">
        <x:v>9</x:v>
      </x:c>
      <x:c r="H149" s="82" t="n">
        <x:v>101.91667</x:v>
      </x:c>
      <x:c r="I149" s="82" t="n">
        <x:v>42.241449</x:v>
      </x:c>
      <x:c r="J149" s="82" t="n">
        <x:v>74.089218</x:v>
      </x:c>
      <x:c r="K149" s="68" t="n">
        <x:f>E149-D149</x:f>
        <x:v>2</x:v>
      </x:c>
      <x:c r="L149" s="68" t="n">
        <x:f>ABS(K149)</x:f>
        <x:v>2</x:v>
      </x:c>
    </x:row>
    <x:row r="150" ht="22" customHeight="1">
      <x:c r="A150" s="68" t="str">
        <x:v>DOWN</x:v>
      </x:c>
      <x:c r="B150" s="68" t="str">
        <x:v>2026-02-19</x:v>
      </x:c>
      <x:c r="C150" s="68" t="n">
        <x:v>4</x:v>
      </x:c>
      <x:c r="D150" s="68" t="n">
        <x:v>6</x:v>
      </x:c>
      <x:c r="E150" s="68" t="n">
        <x:v>3</x:v>
      </x:c>
      <x:c r="F150" s="68" t="n">
        <x:v>11</x:v>
      </x:c>
      <x:c r="G150" s="68" t="n">
        <x:v>14</x:v>
      </x:c>
      <x:c r="H150" s="82" t="n">
        <x:v>221.16667</x:v>
      </x:c>
      <x:c r="I150" s="82" t="n">
        <x:v>25.436806</x:v>
      </x:c>
      <x:c r="J150" s="82" t="n">
        <x:v>81.642273</x:v>
      </x:c>
      <x:c r="K150" s="68" t="n">
        <x:f>E150-D150</x:f>
        <x:v>-3</x:v>
      </x:c>
      <x:c r="L150" s="68" t="n">
        <x:f>ABS(K150)</x:f>
        <x:v>3</x:v>
      </x:c>
    </x:row>
    <x:row r="151" ht="22" customHeight="1">
      <x:c r="A151" s="68" t="str">
        <x:v>DOWN</x:v>
      </x:c>
      <x:c r="B151" s="68" t="str">
        <x:v>2026-02-19</x:v>
      </x:c>
      <x:c r="C151" s="68" t="n">
        <x:v>5</x:v>
      </x:c>
      <x:c r="D151" s="68" t="n">
        <x:v>6</x:v>
      </x:c>
      <x:c r="E151" s="68" t="n">
        <x:v>6</x:v>
      </x:c>
      <x:c r="F151" s="68" t="n">
        <x:v>15</x:v>
      </x:c>
      <x:c r="G151" s="68" t="n">
        <x:v>21</x:v>
      </x:c>
      <x:c r="H151" s="82" t="n">
        <x:v>235.25</x:v>
      </x:c>
      <x:c r="I151" s="82" t="n">
        <x:v>52.189416</x:v>
      </x:c>
      <x:c r="J151" s="82" t="n">
        <x:v>137.900496</x:v>
      </x:c>
      <x:c r="K151" s="68" t="n">
        <x:f>E151-D151</x:f>
        <x:v>0</x:v>
      </x:c>
      <x:c r="L151" s="68" t="n">
        <x:f>ABS(K151)</x:f>
        <x:v>0</x:v>
      </x:c>
    </x:row>
    <x:row r="152" ht="22" customHeight="1">
      <x:c r="A152" s="68" t="str">
        <x:v>DOWN</x:v>
      </x:c>
      <x:c r="B152" s="68" t="str">
        <x:v>2026-02-19</x:v>
      </x:c>
      <x:c r="C152" s="68" t="n">
        <x:v>6</x:v>
      </x:c>
      <x:c r="D152" s="68" t="n">
        <x:v>6</x:v>
      </x:c>
      <x:c r="E152" s="68" t="n">
        <x:v>3</x:v>
      </x:c>
      <x:c r="F152" s="68" t="n">
        <x:v>23</x:v>
      </x:c>
      <x:c r="G152" s="68" t="n">
        <x:v>26</x:v>
      </x:c>
      <x:c r="H152" s="82" t="n">
        <x:v>267.18333</x:v>
      </x:c>
      <x:c r="I152" s="82" t="n">
        <x:v>30.953316</x:v>
      </x:c>
      <x:c r="J152" s="82" t="n">
        <x:v>113.414278</x:v>
      </x:c>
      <x:c r="K152" s="68" t="n">
        <x:f>E152-D152</x:f>
        <x:v>-3</x:v>
      </x:c>
      <x:c r="L152" s="68" t="n">
        <x:f>ABS(K152)</x:f>
        <x:v>3</x:v>
      </x:c>
    </x:row>
    <x:row r="153" ht="22" customHeight="1">
      <x:c r="A153" s="68" t="str">
        <x:v>DOWN</x:v>
      </x:c>
      <x:c r="B153" s="68" t="str">
        <x:v>2026-02-19</x:v>
      </x:c>
      <x:c r="C153" s="68" t="n">
        <x:v>7</x:v>
      </x:c>
      <x:c r="D153" s="68" t="n">
        <x:v>8</x:v>
      </x:c>
      <x:c r="E153" s="68" t="n">
        <x:v>7</x:v>
      </x:c>
      <x:c r="F153" s="68" t="n">
        <x:v>38</x:v>
      </x:c>
      <x:c r="G153" s="68" t="n">
        <x:v>45</x:v>
      </x:c>
      <x:c r="H153" s="82" t="n">
        <x:v>314.06667</x:v>
      </x:c>
      <x:c r="I153" s="82" t="n">
        <x:v>133.899974</x:v>
      </x:c>
      <x:c r="J153" s="82" t="n">
        <x:v>332.272208</x:v>
      </x:c>
      <x:c r="K153" s="68" t="n">
        <x:f>E153-D153</x:f>
        <x:v>-1</x:v>
      </x:c>
      <x:c r="L153" s="68" t="n">
        <x:f>ABS(K153)</x:f>
        <x:v>1</x:v>
      </x:c>
    </x:row>
    <x:row r="154" ht="22" customHeight="1">
      <x:c r="A154" s="68" t="str">
        <x:v>DOWN</x:v>
      </x:c>
      <x:c r="B154" s="68" t="str">
        <x:v>2026-02-19</x:v>
      </x:c>
      <x:c r="C154" s="68" t="n">
        <x:v>8</x:v>
      </x:c>
      <x:c r="D154" s="68" t="n">
        <x:v>21</x:v>
      </x:c>
      <x:c r="E154" s="68" t="n">
        <x:v>18</x:v>
      </x:c>
      <x:c r="F154" s="68" t="n">
        <x:v>47</x:v>
      </x:c>
      <x:c r="G154" s="68" t="n">
        <x:v>65</x:v>
      </x:c>
      <x:c r="H154" s="82" t="n">
        <x:v>598.45</x:v>
      </x:c>
      <x:c r="I154" s="82" t="n">
        <x:v>242.638487</x:v>
      </x:c>
      <x:c r="J154" s="82" t="n">
        <x:v>289.355346</x:v>
      </x:c>
      <x:c r="K154" s="68" t="n">
        <x:f>E154-D154</x:f>
        <x:v>-3</x:v>
      </x:c>
      <x:c r="L154" s="68" t="n">
        <x:f>ABS(K154)</x:f>
        <x:v>3</x:v>
      </x:c>
    </x:row>
    <x:row r="155" ht="22" customHeight="1">
      <x:c r="A155" s="68" t="str">
        <x:v>DOWN</x:v>
      </x:c>
      <x:c r="B155" s="68" t="str">
        <x:v>2026-02-19</x:v>
      </x:c>
      <x:c r="C155" s="68" t="n">
        <x:v>9</x:v>
      </x:c>
      <x:c r="D155" s="68" t="n">
        <x:v>24</x:v>
      </x:c>
      <x:c r="E155" s="68" t="n">
        <x:v>12</x:v>
      </x:c>
      <x:c r="F155" s="68" t="n">
        <x:v>45</x:v>
      </x:c>
      <x:c r="G155" s="68" t="n">
        <x:v>57</x:v>
      </x:c>
      <x:c r="H155" s="82" t="n">
        <x:v>534.43333</x:v>
      </x:c>
      <x:c r="I155" s="82" t="n">
        <x:v>141.967885</x:v>
      </x:c>
      <x:c r="J155" s="82" t="n">
        <x:v>300.297124</x:v>
      </x:c>
      <x:c r="K155" s="68" t="n">
        <x:f>E155-D155</x:f>
        <x:v>-12</x:v>
      </x:c>
      <x:c r="L155" s="68" t="n">
        <x:f>ABS(K155)</x:f>
        <x:v>12</x:v>
      </x:c>
    </x:row>
    <x:row r="156" ht="22" customHeight="1">
      <x:c r="A156" s="68" t="str">
        <x:v>DOWN</x:v>
      </x:c>
      <x:c r="B156" s="68" t="str">
        <x:v>2026-02-19</x:v>
      </x:c>
      <x:c r="C156" s="68" t="n">
        <x:v>10</x:v>
      </x:c>
      <x:c r="D156" s="68" t="n">
        <x:v>21</x:v>
      </x:c>
      <x:c r="E156" s="68" t="n">
        <x:v>27</x:v>
      </x:c>
      <x:c r="F156" s="68" t="n">
        <x:v>54</x:v>
      </x:c>
      <x:c r="G156" s="68" t="n">
        <x:v>81</x:v>
      </x:c>
      <x:c r="H156" s="82" t="n">
        <x:v>581.36665</x:v>
      </x:c>
      <x:c r="I156" s="82" t="n">
        <x:v>314.992383</x:v>
      </x:c>
      <x:c r="J156" s="82" t="n">
        <x:v>314.201704</x:v>
      </x:c>
      <x:c r="K156" s="68" t="n">
        <x:f>E156-D156</x:f>
        <x:v>6</x:v>
      </x:c>
      <x:c r="L156" s="68" t="n">
        <x:f>ABS(K156)</x:f>
        <x:v>6</x:v>
      </x:c>
    </x:row>
    <x:row r="157" ht="22" customHeight="1">
      <x:c r="A157" s="68" t="str">
        <x:v>DOWN</x:v>
      </x:c>
      <x:c r="B157" s="68" t="str">
        <x:v>2026-02-19</x:v>
      </x:c>
      <x:c r="C157" s="68" t="n">
        <x:v>11</x:v>
      </x:c>
      <x:c r="D157" s="68" t="n">
        <x:v>31</x:v>
      </x:c>
      <x:c r="E157" s="68" t="n">
        <x:v>20</x:v>
      </x:c>
      <x:c r="F157" s="68" t="n">
        <x:v>63</x:v>
      </x:c>
      <x:c r="G157" s="68" t="n">
        <x:v>83</x:v>
      </x:c>
      <x:c r="H157" s="82" t="n">
        <x:v>771.58333</x:v>
      </x:c>
      <x:c r="I157" s="82" t="n">
        <x:v>170.32979</x:v>
      </x:c>
      <x:c r="J157" s="82" t="n">
        <x:v>466.938536</x:v>
      </x:c>
      <x:c r="K157" s="68" t="n">
        <x:f>E157-D157</x:f>
        <x:v>-11</x:v>
      </x:c>
      <x:c r="L157" s="68" t="n">
        <x:f>ABS(K157)</x:f>
        <x:v>11</x:v>
      </x:c>
    </x:row>
    <x:row r="158" ht="22" customHeight="1">
      <x:c r="A158" s="68" t="str">
        <x:v>DOWN</x:v>
      </x:c>
      <x:c r="B158" s="68" t="str">
        <x:v>2026-02-19</x:v>
      </x:c>
      <x:c r="C158" s="68" t="n">
        <x:v>12</x:v>
      </x:c>
      <x:c r="D158" s="68" t="n">
        <x:v>38</x:v>
      </x:c>
      <x:c r="E158" s="68" t="n">
        <x:v>23</x:v>
      </x:c>
      <x:c r="F158" s="68" t="n">
        <x:v>59</x:v>
      </x:c>
      <x:c r="G158" s="68" t="n">
        <x:v>82</x:v>
      </x:c>
      <x:c r="H158" s="82" t="n">
        <x:v>1163.11667</x:v>
      </x:c>
      <x:c r="I158" s="82" t="n">
        <x:v>196.481976</x:v>
      </x:c>
      <x:c r="J158" s="82" t="n">
        <x:v>483.797145</x:v>
      </x:c>
      <x:c r="K158" s="68" t="n">
        <x:f>E158-D158</x:f>
        <x:v>-15</x:v>
      </x:c>
      <x:c r="L158" s="68" t="n">
        <x:f>ABS(K158)</x:f>
        <x:v>15</x:v>
      </x:c>
    </x:row>
    <x:row r="159" ht="22" customHeight="1">
      <x:c r="A159" s="68" t="str">
        <x:v>DOWN</x:v>
      </x:c>
      <x:c r="B159" s="68" t="str">
        <x:v>2026-02-19</x:v>
      </x:c>
      <x:c r="C159" s="68" t="n">
        <x:v>13</x:v>
      </x:c>
      <x:c r="D159" s="68" t="n">
        <x:v>27</x:v>
      </x:c>
      <x:c r="E159" s="68" t="n">
        <x:v>25</x:v>
      </x:c>
      <x:c r="F159" s="68" t="n">
        <x:v>66</x:v>
      </x:c>
      <x:c r="G159" s="68" t="n">
        <x:v>91</x:v>
      </x:c>
      <x:c r="H159" s="82" t="n">
        <x:v>819.43332</x:v>
      </x:c>
      <x:c r="I159" s="82" t="n">
        <x:v>287.637095</x:v>
      </x:c>
      <x:c r="J159" s="82" t="n">
        <x:v>608.943362</x:v>
      </x:c>
      <x:c r="K159" s="68" t="n">
        <x:f>E159-D159</x:f>
        <x:v>-2</x:v>
      </x:c>
      <x:c r="L159" s="68" t="n">
        <x:f>ABS(K159)</x:f>
        <x:v>2</x:v>
      </x:c>
    </x:row>
    <x:row r="160" ht="22" customHeight="1">
      <x:c r="A160" s="68" t="str">
        <x:v>DOWN</x:v>
      </x:c>
      <x:c r="B160" s="68" t="str">
        <x:v>2026-02-19</x:v>
      </x:c>
      <x:c r="C160" s="68" t="n">
        <x:v>14</x:v>
      </x:c>
      <x:c r="D160" s="68" t="n">
        <x:v>16</x:v>
      </x:c>
      <x:c r="E160" s="68" t="n">
        <x:v>24</x:v>
      </x:c>
      <x:c r="F160" s="68" t="n">
        <x:v>60</x:v>
      </x:c>
      <x:c r="G160" s="68" t="n">
        <x:v>84</x:v>
      </x:c>
      <x:c r="H160" s="82" t="n">
        <x:v>554.78333</x:v>
      </x:c>
      <x:c r="I160" s="82" t="n">
        <x:v>363.608104</x:v>
      </x:c>
      <x:c r="J160" s="82" t="n">
        <x:v>616.65871</x:v>
      </x:c>
      <x:c r="K160" s="68" t="n">
        <x:f>E160-D160</x:f>
        <x:v>8</x:v>
      </x:c>
      <x:c r="L160" s="68" t="n">
        <x:f>ABS(K160)</x:f>
        <x:v>8</x:v>
      </x:c>
    </x:row>
    <x:row r="161" ht="22" customHeight="1">
      <x:c r="A161" s="68" t="str">
        <x:v>DOWN</x:v>
      </x:c>
      <x:c r="B161" s="68" t="str">
        <x:v>2026-02-19</x:v>
      </x:c>
      <x:c r="C161" s="68" t="n">
        <x:v>15</x:v>
      </x:c>
      <x:c r="D161" s="68" t="n">
        <x:v>25</x:v>
      </x:c>
      <x:c r="E161" s="68" t="n">
        <x:v>21</x:v>
      </x:c>
      <x:c r="F161" s="68" t="n">
        <x:v>62</x:v>
      </x:c>
      <x:c r="G161" s="68" t="n">
        <x:v>83</x:v>
      </x:c>
      <x:c r="H161" s="82" t="n">
        <x:v>597.78335</x:v>
      </x:c>
      <x:c r="I161" s="82" t="n">
        <x:v>331.21225</x:v>
      </x:c>
      <x:c r="J161" s="82" t="n">
        <x:v>406.501226</x:v>
      </x:c>
      <x:c r="K161" s="68" t="n">
        <x:f>E161-D161</x:f>
        <x:v>-4</x:v>
      </x:c>
      <x:c r="L161" s="68" t="n">
        <x:f>ABS(K161)</x:f>
        <x:v>4</x:v>
      </x:c>
    </x:row>
    <x:row r="162" ht="22" customHeight="1">
      <x:c r="A162" s="68" t="str">
        <x:v>DOWN</x:v>
      </x:c>
      <x:c r="B162" s="68" t="str">
        <x:v>2026-02-19</x:v>
      </x:c>
      <x:c r="C162" s="68" t="n">
        <x:v>16</x:v>
      </x:c>
      <x:c r="D162" s="68" t="n">
        <x:v>25</x:v>
      </x:c>
      <x:c r="E162" s="68" t="n">
        <x:v>20</x:v>
      </x:c>
      <x:c r="F162" s="68" t="n">
        <x:v>50</x:v>
      </x:c>
      <x:c r="G162" s="68" t="n">
        <x:v>70</x:v>
      </x:c>
      <x:c r="H162" s="82" t="n">
        <x:v>622.10001</x:v>
      </x:c>
      <x:c r="I162" s="82" t="n">
        <x:v>245.786815</x:v>
      </x:c>
      <x:c r="J162" s="82" t="n">
        <x:v>507.536684</x:v>
      </x:c>
      <x:c r="K162" s="68" t="n">
        <x:f>E162-D162</x:f>
        <x:v>-5</x:v>
      </x:c>
      <x:c r="L162" s="68" t="n">
        <x:f>ABS(K162)</x:f>
        <x:v>5</x:v>
      </x:c>
    </x:row>
    <x:row r="163" ht="22" customHeight="1">
      <x:c r="A163" s="68" t="str">
        <x:v>DOWN</x:v>
      </x:c>
      <x:c r="B163" s="68" t="str">
        <x:v>2026-02-19</x:v>
      </x:c>
      <x:c r="C163" s="68" t="n">
        <x:v>17</x:v>
      </x:c>
      <x:c r="D163" s="68" t="n">
        <x:v>26</x:v>
      </x:c>
      <x:c r="E163" s="68" t="n">
        <x:v>25</x:v>
      </x:c>
      <x:c r="F163" s="68" t="n">
        <x:v>58</x:v>
      </x:c>
      <x:c r="G163" s="68" t="n">
        <x:v>83</x:v>
      </x:c>
      <x:c r="H163" s="82" t="n">
        <x:v>605.94999</x:v>
      </x:c>
      <x:c r="I163" s="82" t="n">
        <x:v>273.137973</x:v>
      </x:c>
      <x:c r="J163" s="82" t="n">
        <x:v>469.645946</x:v>
      </x:c>
      <x:c r="K163" s="68" t="n">
        <x:f>E163-D163</x:f>
        <x:v>-1</x:v>
      </x:c>
      <x:c r="L163" s="68" t="n">
        <x:f>ABS(K163)</x:f>
        <x:v>1</x:v>
      </x:c>
    </x:row>
    <x:row r="164" ht="22" customHeight="1">
      <x:c r="A164" s="68" t="str">
        <x:v>DOWN</x:v>
      </x:c>
      <x:c r="B164" s="68" t="str">
        <x:v>2026-02-19</x:v>
      </x:c>
      <x:c r="C164" s="68" t="n">
        <x:v>18</x:v>
      </x:c>
      <x:c r="D164" s="68" t="n">
        <x:v>28</x:v>
      </x:c>
      <x:c r="E164" s="68" t="n">
        <x:v>23</x:v>
      </x:c>
      <x:c r="F164" s="68" t="n">
        <x:v>41</x:v>
      </x:c>
      <x:c r="G164" s="68" t="n">
        <x:v>64</x:v>
      </x:c>
      <x:c r="H164" s="82" t="n">
        <x:v>778.28334</x:v>
      </x:c>
      <x:c r="I164" s="82" t="n">
        <x:v>316.211242</x:v>
      </x:c>
      <x:c r="J164" s="82" t="n">
        <x:v>255.152741</x:v>
      </x:c>
      <x:c r="K164" s="68" t="n">
        <x:f>E164-D164</x:f>
        <x:v>-5</x:v>
      </x:c>
      <x:c r="L164" s="68" t="n">
        <x:f>ABS(K164)</x:f>
        <x:v>5</x:v>
      </x:c>
    </x:row>
    <x:row r="165" ht="22" customHeight="1">
      <x:c r="A165" s="68" t="str">
        <x:v>DOWN</x:v>
      </x:c>
      <x:c r="B165" s="68" t="str">
        <x:v>2026-02-19</x:v>
      </x:c>
      <x:c r="C165" s="68" t="n">
        <x:v>19</x:v>
      </x:c>
      <x:c r="D165" s="68" t="n">
        <x:v>18</x:v>
      </x:c>
      <x:c r="E165" s="68" t="n">
        <x:v>15</x:v>
      </x:c>
      <x:c r="F165" s="68" t="n">
        <x:v>39</x:v>
      </x:c>
      <x:c r="G165" s="68" t="n">
        <x:v>54</x:v>
      </x:c>
      <x:c r="H165" s="82" t="n">
        <x:v>608.3</x:v>
      </x:c>
      <x:c r="I165" s="82" t="n">
        <x:v>209.392507</x:v>
      </x:c>
      <x:c r="J165" s="82" t="n">
        <x:v>352.005051</x:v>
      </x:c>
      <x:c r="K165" s="68" t="n">
        <x:f>E165-D165</x:f>
        <x:v>-3</x:v>
      </x:c>
      <x:c r="L165" s="68" t="n">
        <x:f>ABS(K165)</x:f>
        <x:v>3</x:v>
      </x:c>
    </x:row>
    <x:row r="166" ht="22" customHeight="1">
      <x:c r="A166" s="68" t="str">
        <x:v>DOWN</x:v>
      </x:c>
      <x:c r="B166" s="68" t="str">
        <x:v>2026-02-19</x:v>
      </x:c>
      <x:c r="C166" s="68" t="n">
        <x:v>20</x:v>
      </x:c>
      <x:c r="D166" s="68" t="n">
        <x:v>11</x:v>
      </x:c>
      <x:c r="E166" s="68" t="n">
        <x:v>11</x:v>
      </x:c>
      <x:c r="F166" s="68" t="n">
        <x:v>26</x:v>
      </x:c>
      <x:c r="G166" s="68" t="n">
        <x:v>37</x:v>
      </x:c>
      <x:c r="H166" s="82" t="n">
        <x:v>320.28335</x:v>
      </x:c>
      <x:c r="I166" s="82" t="n">
        <x:v>132.697906</x:v>
      </x:c>
      <x:c r="J166" s="82" t="n">
        <x:v>316.967987</x:v>
      </x:c>
      <x:c r="K166" s="68" t="n">
        <x:f>E166-D166</x:f>
        <x:v>0</x:v>
      </x:c>
      <x:c r="L166" s="68" t="n">
        <x:f>ABS(K166)</x:f>
        <x:v>0</x:v>
      </x:c>
    </x:row>
    <x:row r="167" ht="22" customHeight="1">
      <x:c r="A167" s="68" t="str">
        <x:v>DOWN</x:v>
      </x:c>
      <x:c r="B167" s="68" t="str">
        <x:v>2026-02-19</x:v>
      </x:c>
      <x:c r="C167" s="68" t="n">
        <x:v>21</x:v>
      </x:c>
      <x:c r="D167" s="68" t="n">
        <x:v>7</x:v>
      </x:c>
      <x:c r="E167" s="68" t="n">
        <x:v>12</x:v>
      </x:c>
      <x:c r="F167" s="68" t="n">
        <x:v>32</x:v>
      </x:c>
      <x:c r="G167" s="68" t="n">
        <x:v>44</x:v>
      </x:c>
      <x:c r="H167" s="82" t="n">
        <x:v>240.93333</x:v>
      </x:c>
      <x:c r="I167" s="82" t="n">
        <x:v>169.500867</x:v>
      </x:c>
      <x:c r="J167" s="82" t="n">
        <x:v>315.694004</x:v>
      </x:c>
      <x:c r="K167" s="68" t="n">
        <x:f>E167-D167</x:f>
        <x:v>5</x:v>
      </x:c>
      <x:c r="L167" s="68" t="n">
        <x:f>ABS(K167)</x:f>
        <x:v>5</x:v>
      </x:c>
    </x:row>
    <x:row r="168" ht="22" customHeight="1">
      <x:c r="A168" s="68" t="str">
        <x:v>DOWN</x:v>
      </x:c>
      <x:c r="B168" s="68" t="str">
        <x:v>2026-02-19</x:v>
      </x:c>
      <x:c r="C168" s="68" t="n">
        <x:v>22</x:v>
      </x:c>
      <x:c r="D168" s="68" t="n">
        <x:v>8</x:v>
      </x:c>
      <x:c r="E168" s="68" t="n">
        <x:v>9</x:v>
      </x:c>
      <x:c r="F168" s="68" t="n">
        <x:v>27</x:v>
      </x:c>
      <x:c r="G168" s="68" t="n">
        <x:v>36</x:v>
      </x:c>
      <x:c r="H168" s="82" t="n">
        <x:v>187.81668</x:v>
      </x:c>
      <x:c r="I168" s="82" t="n">
        <x:v>64.051639</x:v>
      </x:c>
      <x:c r="J168" s="82" t="n">
        <x:v>231.857232</x:v>
      </x:c>
      <x:c r="K168" s="68" t="n">
        <x:f>E168-D168</x:f>
        <x:v>1</x:v>
      </x:c>
      <x:c r="L168" s="68" t="n">
        <x:f>ABS(K168)</x:f>
        <x:v>1</x:v>
      </x:c>
    </x:row>
    <x:row r="169" ht="22" customHeight="1">
      <x:c r="A169" s="68" t="str">
        <x:v>DOWN</x:v>
      </x:c>
      <x:c r="B169" s="68" t="str">
        <x:v>2026-02-19</x:v>
      </x:c>
      <x:c r="C169" s="68" t="n">
        <x:v>23</x:v>
      </x:c>
      <x:c r="D169" s="68" t="n">
        <x:v>5</x:v>
      </x:c>
      <x:c r="E169" s="68" t="n">
        <x:v>8</x:v>
      </x:c>
      <x:c r="F169" s="68" t="n">
        <x:v>17</x:v>
      </x:c>
      <x:c r="G169" s="68" t="n">
        <x:v>25</x:v>
      </x:c>
      <x:c r="H169" s="82" t="n">
        <x:v>139.26665</x:v>
      </x:c>
      <x:c r="I169" s="82" t="n">
        <x:v>251.854656</x:v>
      </x:c>
      <x:c r="J169" s="82" t="n">
        <x:v>169.920644</x:v>
      </x:c>
      <x:c r="K169" s="68" t="n">
        <x:f>E169-D169</x:f>
        <x:v>3</x:v>
      </x:c>
      <x:c r="L169" s="68" t="n">
        <x:f>ABS(K169)</x:f>
        <x:v>3</x:v>
      </x:c>
    </x:row>
    <x:row r="170" ht="22" customHeight="1">
      <x:c r="A170" s="68" t="str">
        <x:v>DOWN</x:v>
      </x:c>
      <x:c r="B170" s="68" t="str">
        <x:v>2026-02-20</x:v>
      </x:c>
      <x:c r="C170" s="68" t="n">
        <x:v>0</x:v>
      </x:c>
      <x:c r="D170" s="68" t="n">
        <x:v>3</x:v>
      </x:c>
      <x:c r="E170" s="68" t="n">
        <x:v>0</x:v>
      </x:c>
      <x:c r="F170" s="68" t="n">
        <x:v>5</x:v>
      </x:c>
      <x:c r="G170" s="68" t="n">
        <x:v>5</x:v>
      </x:c>
      <x:c r="H170" s="82" t="n">
        <x:v>35.06667</x:v>
      </x:c>
      <x:c r="I170" s="82" t="n">
        <x:v>0</x:v>
      </x:c>
      <x:c r="J170" s="82" t="n">
        <x:v>23.447397</x:v>
      </x:c>
      <x:c r="K170" s="68" t="n">
        <x:f>E170-D170</x:f>
        <x:v>-3</x:v>
      </x:c>
      <x:c r="L170" s="68" t="n">
        <x:f>ABS(K170)</x:f>
        <x:v>3</x:v>
      </x:c>
    </x:row>
    <x:row r="171" ht="22" customHeight="1">
      <x:c r="A171" s="68" t="str">
        <x:v>DOWN</x:v>
      </x:c>
      <x:c r="B171" s="68" t="str">
        <x:v>2026-02-20</x:v>
      </x:c>
      <x:c r="C171" s="68" t="n">
        <x:v>1</x:v>
      </x:c>
      <x:c r="D171" s="68" t="n">
        <x:v>4</x:v>
      </x:c>
      <x:c r="E171" s="68" t="n">
        <x:v>5</x:v>
      </x:c>
      <x:c r="F171" s="68" t="n">
        <x:v>8</x:v>
      </x:c>
      <x:c r="G171" s="68" t="n">
        <x:v>13</x:v>
      </x:c>
      <x:c r="H171" s="82" t="n">
        <x:v>129.90001</x:v>
      </x:c>
      <x:c r="I171" s="82" t="n">
        <x:v>40.929929</x:v>
      </x:c>
      <x:c r="J171" s="82" t="n">
        <x:v>64.288079</x:v>
      </x:c>
      <x:c r="K171" s="68" t="n">
        <x:f>E171-D171</x:f>
        <x:v>1</x:v>
      </x:c>
      <x:c r="L171" s="68" t="n">
        <x:f>ABS(K171)</x:f>
        <x:v>1</x:v>
      </x:c>
    </x:row>
    <x:row r="172" ht="22" customHeight="1">
      <x:c r="A172" s="68" t="str">
        <x:v>DOWN</x:v>
      </x:c>
      <x:c r="B172" s="68" t="str">
        <x:v>2026-02-20</x:v>
      </x:c>
      <x:c r="C172" s="68" t="n">
        <x:v>2</x:v>
      </x:c>
      <x:c r="D172" s="68" t="n">
        <x:v>1</x:v>
      </x:c>
      <x:c r="E172" s="68" t="n">
        <x:v>2</x:v>
      </x:c>
      <x:c r="F172" s="68" t="n">
        <x:v>18</x:v>
      </x:c>
      <x:c r="G172" s="68" t="n">
        <x:v>20</x:v>
      </x:c>
      <x:c r="H172" s="82" t="n">
        <x:v>18.33333</x:v>
      </x:c>
      <x:c r="I172" s="82" t="n">
        <x:v>30.39498</x:v>
      </x:c>
      <x:c r="J172" s="82" t="n">
        <x:v>70.567459</x:v>
      </x:c>
      <x:c r="K172" s="68" t="n">
        <x:f>E172-D172</x:f>
        <x:v>1</x:v>
      </x:c>
      <x:c r="L172" s="68" t="n">
        <x:f>ABS(K172)</x:f>
        <x:v>1</x:v>
      </x:c>
    </x:row>
    <x:row r="173" ht="22" customHeight="1">
      <x:c r="A173" s="68" t="str">
        <x:v>DOWN</x:v>
      </x:c>
      <x:c r="B173" s="68" t="str">
        <x:v>2026-02-20</x:v>
      </x:c>
      <x:c r="C173" s="68" t="n">
        <x:v>3</x:v>
      </x:c>
      <x:c r="D173" s="68" t="n">
        <x:v>3</x:v>
      </x:c>
      <x:c r="E173" s="68" t="n">
        <x:v>4</x:v>
      </x:c>
      <x:c r="F173" s="68" t="n">
        <x:v>12</x:v>
      </x:c>
      <x:c r="G173" s="68" t="n">
        <x:v>16</x:v>
      </x:c>
      <x:c r="H173" s="82" t="n">
        <x:v>80.25</x:v>
      </x:c>
      <x:c r="I173" s="82" t="n">
        <x:v>72.268331</x:v>
      </x:c>
      <x:c r="J173" s="82" t="n">
        <x:v>165.019752</x:v>
      </x:c>
      <x:c r="K173" s="68" t="n">
        <x:f>E173-D173</x:f>
        <x:v>1</x:v>
      </x:c>
      <x:c r="L173" s="68" t="n">
        <x:f>ABS(K173)</x:f>
        <x:v>1</x:v>
      </x:c>
    </x:row>
    <x:row r="174" ht="22" customHeight="1">
      <x:c r="A174" s="68" t="str">
        <x:v>DOWN</x:v>
      </x:c>
      <x:c r="B174" s="68" t="str">
        <x:v>2026-02-20</x:v>
      </x:c>
      <x:c r="C174" s="68" t="n">
        <x:v>4</x:v>
      </x:c>
      <x:c r="D174" s="68" t="n">
        <x:v>9</x:v>
      </x:c>
      <x:c r="E174" s="68" t="n">
        <x:v>1</x:v>
      </x:c>
      <x:c r="F174" s="68" t="n">
        <x:v>16</x:v>
      </x:c>
      <x:c r="G174" s="68" t="n">
        <x:v>17</x:v>
      </x:c>
      <x:c r="H174" s="82" t="n">
        <x:v>156.53333</x:v>
      </x:c>
      <x:c r="I174" s="82" t="n">
        <x:v>15.143259</x:v>
      </x:c>
      <x:c r="J174" s="82" t="n">
        <x:v>115.426651</x:v>
      </x:c>
      <x:c r="K174" s="68" t="n">
        <x:f>E174-D174</x:f>
        <x:v>-8</x:v>
      </x:c>
      <x:c r="L174" s="68" t="n">
        <x:f>ABS(K174)</x:f>
        <x:v>8</x:v>
      </x:c>
    </x:row>
    <x:row r="175" ht="22" customHeight="1">
      <x:c r="A175" s="68" t="str">
        <x:v>DOWN</x:v>
      </x:c>
      <x:c r="B175" s="68" t="str">
        <x:v>2026-02-20</x:v>
      </x:c>
      <x:c r="C175" s="68" t="n">
        <x:v>5</x:v>
      </x:c>
      <x:c r="D175" s="68" t="n">
        <x:v>10</x:v>
      </x:c>
      <x:c r="E175" s="68" t="n">
        <x:v>5</x:v>
      </x:c>
      <x:c r="F175" s="68" t="n">
        <x:v>15</x:v>
      </x:c>
      <x:c r="G175" s="68" t="n">
        <x:v>20</x:v>
      </x:c>
      <x:c r="H175" s="82" t="n">
        <x:v>362.45</x:v>
      </x:c>
      <x:c r="I175" s="82" t="n">
        <x:v>99.60687</x:v>
      </x:c>
      <x:c r="J175" s="82" t="n">
        <x:v>144.224502</x:v>
      </x:c>
      <x:c r="K175" s="68" t="n">
        <x:f>E175-D175</x:f>
        <x:v>-5</x:v>
      </x:c>
      <x:c r="L175" s="68" t="n">
        <x:f>ABS(K175)</x:f>
        <x:v>5</x:v>
      </x:c>
    </x:row>
    <x:row r="176" ht="22" customHeight="1">
      <x:c r="A176" s="68" t="str">
        <x:v>DOWN</x:v>
      </x:c>
      <x:c r="B176" s="68" t="str">
        <x:v>2026-02-20</x:v>
      </x:c>
      <x:c r="C176" s="68" t="n">
        <x:v>6</x:v>
      </x:c>
      <x:c r="D176" s="68" t="n">
        <x:v>7</x:v>
      </x:c>
      <x:c r="E176" s="68" t="n">
        <x:v>11</x:v>
      </x:c>
      <x:c r="F176" s="68" t="n">
        <x:v>28</x:v>
      </x:c>
      <x:c r="G176" s="68" t="n">
        <x:v>39</x:v>
      </x:c>
      <x:c r="H176" s="82" t="n">
        <x:v>203.71666</x:v>
      </x:c>
      <x:c r="I176" s="82" t="n">
        <x:v>126.627073</x:v>
      </x:c>
      <x:c r="J176" s="82" t="n">
        <x:v>159.471148</x:v>
      </x:c>
      <x:c r="K176" s="68" t="n">
        <x:f>E176-D176</x:f>
        <x:v>4</x:v>
      </x:c>
      <x:c r="L176" s="68" t="n">
        <x:f>ABS(K176)</x:f>
        <x:v>4</x:v>
      </x:c>
    </x:row>
    <x:row r="177" ht="22" customHeight="1">
      <x:c r="A177" s="68" t="str">
        <x:v>DOWN</x:v>
      </x:c>
      <x:c r="B177" s="68" t="str">
        <x:v>2026-02-20</x:v>
      </x:c>
      <x:c r="C177" s="68" t="n">
        <x:v>7</x:v>
      </x:c>
      <x:c r="D177" s="68" t="n">
        <x:v>18</x:v>
      </x:c>
      <x:c r="E177" s="68" t="n">
        <x:v>17</x:v>
      </x:c>
      <x:c r="F177" s="68" t="n">
        <x:v>27</x:v>
      </x:c>
      <x:c r="G177" s="68" t="n">
        <x:v>44</x:v>
      </x:c>
      <x:c r="H177" s="82" t="n">
        <x:v>576.09999</x:v>
      </x:c>
      <x:c r="I177" s="82" t="n">
        <x:v>157.250344</x:v>
      </x:c>
      <x:c r="J177" s="82" t="n">
        <x:v>159.067659</x:v>
      </x:c>
      <x:c r="K177" s="68" t="n">
        <x:f>E177-D177</x:f>
        <x:v>-1</x:v>
      </x:c>
      <x:c r="L177" s="68" t="n">
        <x:f>ABS(K177)</x:f>
        <x:v>1</x:v>
      </x:c>
    </x:row>
    <x:row r="178" ht="22" customHeight="1">
      <x:c r="A178" s="68" t="str">
        <x:v>DOWN</x:v>
      </x:c>
      <x:c r="B178" s="68" t="str">
        <x:v>2026-02-20</x:v>
      </x:c>
      <x:c r="C178" s="68" t="n">
        <x:v>8</x:v>
      </x:c>
      <x:c r="D178" s="68" t="n">
        <x:v>16</x:v>
      </x:c>
      <x:c r="E178" s="68" t="n">
        <x:v>14</x:v>
      </x:c>
      <x:c r="F178" s="68" t="n">
        <x:v>41</x:v>
      </x:c>
      <x:c r="G178" s="68" t="n">
        <x:v>55</x:v>
      </x:c>
      <x:c r="H178" s="82" t="n">
        <x:v>496.33334</x:v>
      </x:c>
      <x:c r="I178" s="82" t="n">
        <x:v>160.10056</x:v>
      </x:c>
      <x:c r="J178" s="82" t="n">
        <x:v>291.274079</x:v>
      </x:c>
      <x:c r="K178" s="68" t="n">
        <x:f>E178-D178</x:f>
        <x:v>-2</x:v>
      </x:c>
      <x:c r="L178" s="68" t="n">
        <x:f>ABS(K178)</x:f>
        <x:v>2</x:v>
      </x:c>
    </x:row>
    <x:row r="179" ht="22" customHeight="1">
      <x:c r="A179" s="68" t="str">
        <x:v>DOWN</x:v>
      </x:c>
      <x:c r="B179" s="68" t="str">
        <x:v>2026-02-20</x:v>
      </x:c>
      <x:c r="C179" s="68" t="n">
        <x:v>9</x:v>
      </x:c>
      <x:c r="D179" s="68" t="n">
        <x:v>24</x:v>
      </x:c>
      <x:c r="E179" s="68" t="n">
        <x:v>9</x:v>
      </x:c>
      <x:c r="F179" s="68" t="n">
        <x:v>37</x:v>
      </x:c>
      <x:c r="G179" s="68" t="n">
        <x:v>46</x:v>
      </x:c>
      <x:c r="H179" s="82" t="n">
        <x:v>471.14999</x:v>
      </x:c>
      <x:c r="I179" s="82" t="n">
        <x:v>110.436299</x:v>
      </x:c>
      <x:c r="J179" s="82" t="n">
        <x:v>245.270949</x:v>
      </x:c>
      <x:c r="K179" s="68" t="n">
        <x:f>E179-D179</x:f>
        <x:v>-15</x:v>
      </x:c>
      <x:c r="L179" s="68" t="n">
        <x:f>ABS(K179)</x:f>
        <x:v>15</x:v>
      </x:c>
    </x:row>
    <x:row r="180" ht="22" customHeight="1">
      <x:c r="A180" s="68" t="str">
        <x:v>DOWN</x:v>
      </x:c>
      <x:c r="B180" s="68" t="str">
        <x:v>2026-02-20</x:v>
      </x:c>
      <x:c r="C180" s="68" t="n">
        <x:v>10</x:v>
      </x:c>
      <x:c r="D180" s="68" t="n">
        <x:v>24</x:v>
      </x:c>
      <x:c r="E180" s="68" t="n">
        <x:v>18</x:v>
      </x:c>
      <x:c r="F180" s="68" t="n">
        <x:v>63</x:v>
      </x:c>
      <x:c r="G180" s="68" t="n">
        <x:v>81</x:v>
      </x:c>
      <x:c r="H180" s="82" t="n">
        <x:v>547.34999</x:v>
      </x:c>
      <x:c r="I180" s="82" t="n">
        <x:v>212.773221</x:v>
      </x:c>
      <x:c r="J180" s="82" t="n">
        <x:v>482.447076</x:v>
      </x:c>
      <x:c r="K180" s="68" t="n">
        <x:f>E180-D180</x:f>
        <x:v>-6</x:v>
      </x:c>
      <x:c r="L180" s="68" t="n">
        <x:f>ABS(K180)</x:f>
        <x:v>6</x:v>
      </x:c>
    </x:row>
    <x:row r="181" ht="22" customHeight="1">
      <x:c r="A181" s="68" t="str">
        <x:v>DOWN</x:v>
      </x:c>
      <x:c r="B181" s="68" t="str">
        <x:v>2026-02-20</x:v>
      </x:c>
      <x:c r="C181" s="68" t="n">
        <x:v>11</x:v>
      </x:c>
      <x:c r="D181" s="68" t="n">
        <x:v>23</x:v>
      </x:c>
      <x:c r="E181" s="68" t="n">
        <x:v>20</x:v>
      </x:c>
      <x:c r="F181" s="68" t="n">
        <x:v>63</x:v>
      </x:c>
      <x:c r="G181" s="68" t="n">
        <x:v>83</x:v>
      </x:c>
      <x:c r="H181" s="82" t="n">
        <x:v>709.66667</x:v>
      </x:c>
      <x:c r="I181" s="82" t="n">
        <x:v>200.918364</x:v>
      </x:c>
      <x:c r="J181" s="82" t="n">
        <x:v>582.861729</x:v>
      </x:c>
      <x:c r="K181" s="68" t="n">
        <x:f>E181-D181</x:f>
        <x:v>-3</x:v>
      </x:c>
      <x:c r="L181" s="68" t="n">
        <x:f>ABS(K181)</x:f>
        <x:v>3</x:v>
      </x:c>
    </x:row>
    <x:row r="182" ht="22" customHeight="1">
      <x:c r="A182" s="68" t="str">
        <x:v>DOWN</x:v>
      </x:c>
      <x:c r="B182" s="68" t="str">
        <x:v>2026-02-20</x:v>
      </x:c>
      <x:c r="C182" s="68" t="n">
        <x:v>12</x:v>
      </x:c>
      <x:c r="D182" s="68" t="n">
        <x:v>34</x:v>
      </x:c>
      <x:c r="E182" s="68" t="n">
        <x:v>22</x:v>
      </x:c>
      <x:c r="F182" s="68" t="n">
        <x:v>59</x:v>
      </x:c>
      <x:c r="G182" s="68" t="n">
        <x:v>81</x:v>
      </x:c>
      <x:c r="H182" s="82" t="n">
        <x:v>920.83334</x:v>
      </x:c>
      <x:c r="I182" s="82" t="n">
        <x:v>263.945065</x:v>
      </x:c>
      <x:c r="J182" s="82" t="n">
        <x:v>469.02298</x:v>
      </x:c>
      <x:c r="K182" s="68" t="n">
        <x:f>E182-D182</x:f>
        <x:v>-12</x:v>
      </x:c>
      <x:c r="L182" s="68" t="n">
        <x:f>ABS(K182)</x:f>
        <x:v>12</x:v>
      </x:c>
    </x:row>
    <x:row r="183" ht="22" customHeight="1">
      <x:c r="A183" s="68" t="str">
        <x:v>DOWN</x:v>
      </x:c>
      <x:c r="B183" s="68" t="str">
        <x:v>2026-02-20</x:v>
      </x:c>
      <x:c r="C183" s="68" t="n">
        <x:v>13</x:v>
      </x:c>
      <x:c r="D183" s="68" t="n">
        <x:v>30</x:v>
      </x:c>
      <x:c r="E183" s="68" t="n">
        <x:v>22</x:v>
      </x:c>
      <x:c r="F183" s="68" t="n">
        <x:v>45</x:v>
      </x:c>
      <x:c r="G183" s="68" t="n">
        <x:v>67</x:v>
      </x:c>
      <x:c r="H183" s="82" t="n">
        <x:v>947.91666</x:v>
      </x:c>
      <x:c r="I183" s="82" t="n">
        <x:v>263.083081</x:v>
      </x:c>
      <x:c r="J183" s="82" t="n">
        <x:v>503.279731</x:v>
      </x:c>
      <x:c r="K183" s="68" t="n">
        <x:f>E183-D183</x:f>
        <x:v>-8</x:v>
      </x:c>
      <x:c r="L183" s="68" t="n">
        <x:f>ABS(K183)</x:f>
        <x:v>8</x:v>
      </x:c>
    </x:row>
    <x:row r="184" ht="22" customHeight="1">
      <x:c r="A184" s="68" t="str">
        <x:v>DOWN</x:v>
      </x:c>
      <x:c r="B184" s="68" t="str">
        <x:v>2026-02-20</x:v>
      </x:c>
      <x:c r="C184" s="68" t="n">
        <x:v>14</x:v>
      </x:c>
      <x:c r="D184" s="68" t="n">
        <x:v>37</x:v>
      </x:c>
      <x:c r="E184" s="68" t="n">
        <x:v>21</x:v>
      </x:c>
      <x:c r="F184" s="68" t="n">
        <x:v>62</x:v>
      </x:c>
      <x:c r="G184" s="68" t="n">
        <x:v>83</x:v>
      </x:c>
      <x:c r="H184" s="82" t="n">
        <x:v>882.58334</x:v>
      </x:c>
      <x:c r="I184" s="82" t="n">
        <x:v>268.005929</x:v>
      </x:c>
      <x:c r="J184" s="82" t="n">
        <x:v>562.287013</x:v>
      </x:c>
      <x:c r="K184" s="68" t="n">
        <x:f>E184-D184</x:f>
        <x:v>-16</x:v>
      </x:c>
      <x:c r="L184" s="68" t="n">
        <x:f>ABS(K184)</x:f>
        <x:v>16</x:v>
      </x:c>
    </x:row>
    <x:row r="185" ht="22" customHeight="1">
      <x:c r="A185" s="68" t="str">
        <x:v>DOWN</x:v>
      </x:c>
      <x:c r="B185" s="68" t="str">
        <x:v>2026-02-20</x:v>
      </x:c>
      <x:c r="C185" s="68" t="n">
        <x:v>15</x:v>
      </x:c>
      <x:c r="D185" s="68" t="n">
        <x:v>32</x:v>
      </x:c>
      <x:c r="E185" s="68" t="n">
        <x:v>22</x:v>
      </x:c>
      <x:c r="F185" s="68" t="n">
        <x:v>55</x:v>
      </x:c>
      <x:c r="G185" s="68" t="n">
        <x:v>77</x:v>
      </x:c>
      <x:c r="H185" s="82" t="n">
        <x:v>962.43334</x:v>
      </x:c>
      <x:c r="I185" s="82" t="n">
        <x:v>269.635031</x:v>
      </x:c>
      <x:c r="J185" s="82" t="n">
        <x:v>605.444338</x:v>
      </x:c>
      <x:c r="K185" s="68" t="n">
        <x:f>E185-D185</x:f>
        <x:v>-10</x:v>
      </x:c>
      <x:c r="L185" s="68" t="n">
        <x:f>ABS(K185)</x:f>
        <x:v>10</x:v>
      </x:c>
    </x:row>
    <x:row r="186" ht="22" customHeight="1">
      <x:c r="A186" s="68" t="str">
        <x:v>DOWN</x:v>
      </x:c>
      <x:c r="B186" s="68" t="str">
        <x:v>2026-02-20</x:v>
      </x:c>
      <x:c r="C186" s="68" t="n">
        <x:v>16</x:v>
      </x:c>
      <x:c r="D186" s="68" t="n">
        <x:v>34</x:v>
      </x:c>
      <x:c r="E186" s="68" t="n">
        <x:v>18</x:v>
      </x:c>
      <x:c r="F186" s="68" t="n">
        <x:v>66</x:v>
      </x:c>
      <x:c r="G186" s="68" t="n">
        <x:v>84</x:v>
      </x:c>
      <x:c r="H186" s="82" t="n">
        <x:v>796.8</x:v>
      </x:c>
      <x:c r="I186" s="82" t="n">
        <x:v>233.79628</x:v>
      </x:c>
      <x:c r="J186" s="82" t="n">
        <x:v>747.807198</x:v>
      </x:c>
      <x:c r="K186" s="68" t="n">
        <x:f>E186-D186</x:f>
        <x:v>-16</x:v>
      </x:c>
      <x:c r="L186" s="68" t="n">
        <x:f>ABS(K186)</x:f>
        <x:v>16</x:v>
      </x:c>
    </x:row>
    <x:row r="187" ht="22" customHeight="1">
      <x:c r="A187" s="68" t="str">
        <x:v>DOWN</x:v>
      </x:c>
      <x:c r="B187" s="68" t="str">
        <x:v>2026-02-20</x:v>
      </x:c>
      <x:c r="C187" s="68" t="n">
        <x:v>17</x:v>
      </x:c>
      <x:c r="D187" s="68" t="n">
        <x:v>30</x:v>
      </x:c>
      <x:c r="E187" s="68" t="n">
        <x:v>41</x:v>
      </x:c>
      <x:c r="F187" s="68" t="n">
        <x:v>59</x:v>
      </x:c>
      <x:c r="G187" s="68" t="n">
        <x:v>100</x:v>
      </x:c>
      <x:c r="H187" s="82" t="n">
        <x:v>841.88334</x:v>
      </x:c>
      <x:c r="I187" s="82" t="n">
        <x:v>375.55332</x:v>
      </x:c>
      <x:c r="J187" s="82" t="n">
        <x:v>542.390534</x:v>
      </x:c>
      <x:c r="K187" s="68" t="n">
        <x:f>E187-D187</x:f>
        <x:v>11</x:v>
      </x:c>
      <x:c r="L187" s="68" t="n">
        <x:f>ABS(K187)</x:f>
        <x:v>11</x:v>
      </x:c>
    </x:row>
    <x:row r="188" ht="22" customHeight="1">
      <x:c r="A188" s="68" t="str">
        <x:v>DOWN</x:v>
      </x:c>
      <x:c r="B188" s="68" t="str">
        <x:v>2026-02-20</x:v>
      </x:c>
      <x:c r="C188" s="68" t="n">
        <x:v>18</x:v>
      </x:c>
      <x:c r="D188" s="68" t="n">
        <x:v>30</x:v>
      </x:c>
      <x:c r="E188" s="68" t="n">
        <x:v>19</x:v>
      </x:c>
      <x:c r="F188" s="68" t="n">
        <x:v>56</x:v>
      </x:c>
      <x:c r="G188" s="68" t="n">
        <x:v>75</x:v>
      </x:c>
      <x:c r="H188" s="82" t="n">
        <x:v>863.78334</x:v>
      </x:c>
      <x:c r="I188" s="82" t="n">
        <x:v>230.338646</x:v>
      </x:c>
      <x:c r="J188" s="82" t="n">
        <x:v>395.388678</x:v>
      </x:c>
      <x:c r="K188" s="68" t="n">
        <x:f>E188-D188</x:f>
        <x:v>-11</x:v>
      </x:c>
      <x:c r="L188" s="68" t="n">
        <x:f>ABS(K188)</x:f>
        <x:v>11</x:v>
      </x:c>
    </x:row>
    <x:row r="189" ht="22" customHeight="1">
      <x:c r="A189" s="68" t="str">
        <x:v>DOWN</x:v>
      </x:c>
      <x:c r="B189" s="68" t="str">
        <x:v>2026-02-20</x:v>
      </x:c>
      <x:c r="C189" s="68" t="n">
        <x:v>19</x:v>
      </x:c>
      <x:c r="D189" s="68" t="n">
        <x:v>22</x:v>
      </x:c>
      <x:c r="E189" s="68" t="n">
        <x:v>18</x:v>
      </x:c>
      <x:c r="F189" s="68" t="n">
        <x:v>49</x:v>
      </x:c>
      <x:c r="G189" s="68" t="n">
        <x:v>67</x:v>
      </x:c>
      <x:c r="H189" s="82" t="n">
        <x:v>704.5</x:v>
      </x:c>
      <x:c r="I189" s="82" t="n">
        <x:v>230.600138</x:v>
      </x:c>
      <x:c r="J189" s="82" t="n">
        <x:v>486.586221</x:v>
      </x:c>
      <x:c r="K189" s="68" t="n">
        <x:f>E189-D189</x:f>
        <x:v>-4</x:v>
      </x:c>
      <x:c r="L189" s="68" t="n">
        <x:f>ABS(K189)</x:f>
        <x:v>4</x:v>
      </x:c>
    </x:row>
    <x:row r="190" ht="22" customHeight="1">
      <x:c r="A190" s="68" t="str">
        <x:v>DOWN</x:v>
      </x:c>
      <x:c r="B190" s="68" t="str">
        <x:v>2026-02-20</x:v>
      </x:c>
      <x:c r="C190" s="68" t="n">
        <x:v>20</x:v>
      </x:c>
      <x:c r="D190" s="68" t="n">
        <x:v>13</x:v>
      </x:c>
      <x:c r="E190" s="68" t="n">
        <x:v>22</x:v>
      </x:c>
      <x:c r="F190" s="68" t="n">
        <x:v>37</x:v>
      </x:c>
      <x:c r="G190" s="68" t="n">
        <x:v>59</x:v>
      </x:c>
      <x:c r="H190" s="82" t="n">
        <x:v>503.81667</x:v>
      </x:c>
      <x:c r="I190" s="82" t="n">
        <x:v>220.479964</x:v>
      </x:c>
      <x:c r="J190" s="82" t="n">
        <x:v>330.713114</x:v>
      </x:c>
      <x:c r="K190" s="68" t="n">
        <x:f>E190-D190</x:f>
        <x:v>9</x:v>
      </x:c>
      <x:c r="L190" s="68" t="n">
        <x:f>ABS(K190)</x:f>
        <x:v>9</x:v>
      </x:c>
    </x:row>
    <x:row r="191" ht="22" customHeight="1">
      <x:c r="A191" s="68" t="str">
        <x:v>DOWN</x:v>
      </x:c>
      <x:c r="B191" s="68" t="str">
        <x:v>2026-02-20</x:v>
      </x:c>
      <x:c r="C191" s="68" t="n">
        <x:v>21</x:v>
      </x:c>
      <x:c r="D191" s="68" t="n">
        <x:v>14</x:v>
      </x:c>
      <x:c r="E191" s="68" t="n">
        <x:v>14</x:v>
      </x:c>
      <x:c r="F191" s="68" t="n">
        <x:v>33</x:v>
      </x:c>
      <x:c r="G191" s="68" t="n">
        <x:v>47</x:v>
      </x:c>
      <x:c r="H191" s="82" t="n">
        <x:v>275.03332</x:v>
      </x:c>
      <x:c r="I191" s="82" t="n">
        <x:v>188.710612</x:v>
      </x:c>
      <x:c r="J191" s="82" t="n">
        <x:v>444.184505</x:v>
      </x:c>
      <x:c r="K191" s="68" t="n">
        <x:f>E191-D191</x:f>
        <x:v>0</x:v>
      </x:c>
      <x:c r="L191" s="68" t="n">
        <x:f>ABS(K191)</x:f>
        <x:v>0</x:v>
      </x:c>
    </x:row>
    <x:row r="192" ht="22" customHeight="1">
      <x:c r="A192" s="68" t="str">
        <x:v>DOWN</x:v>
      </x:c>
      <x:c r="B192" s="68" t="str">
        <x:v>2026-02-20</x:v>
      </x:c>
      <x:c r="C192" s="68" t="n">
        <x:v>22</x:v>
      </x:c>
      <x:c r="D192" s="68" t="n">
        <x:v>10</x:v>
      </x:c>
      <x:c r="E192" s="68" t="n">
        <x:v>7</x:v>
      </x:c>
      <x:c r="F192" s="68" t="n">
        <x:v>30</x:v>
      </x:c>
      <x:c r="G192" s="68" t="n">
        <x:v>37</x:v>
      </x:c>
      <x:c r="H192" s="82" t="n">
        <x:v>348.35</x:v>
      </x:c>
      <x:c r="I192" s="82" t="n">
        <x:v>142.423162</x:v>
      </x:c>
      <x:c r="J192" s="82" t="n">
        <x:v>294.610417</x:v>
      </x:c>
      <x:c r="K192" s="68" t="n">
        <x:f>E192-D192</x:f>
        <x:v>-3</x:v>
      </x:c>
      <x:c r="L192" s="68" t="n">
        <x:f>ABS(K192)</x:f>
        <x:v>3</x:v>
      </x:c>
    </x:row>
    <x:row r="193" ht="22" customHeight="1">
      <x:c r="A193" s="68" t="str">
        <x:v>DOWN</x:v>
      </x:c>
      <x:c r="B193" s="68" t="str">
        <x:v>2026-02-20</x:v>
      </x:c>
      <x:c r="C193" s="68" t="n">
        <x:v>23</x:v>
      </x:c>
      <x:c r="D193" s="68" t="n">
        <x:v>12</x:v>
      </x:c>
      <x:c r="E193" s="68" t="n">
        <x:v>10</x:v>
      </x:c>
      <x:c r="F193" s="68" t="n">
        <x:v>22</x:v>
      </x:c>
      <x:c r="G193" s="68" t="n">
        <x:v>32</x:v>
      </x:c>
      <x:c r="H193" s="82" t="n">
        <x:v>274.30001</x:v>
      </x:c>
      <x:c r="I193" s="82" t="n">
        <x:v>132.798619</x:v>
      </x:c>
      <x:c r="J193" s="82" t="n">
        <x:v>190.593213</x:v>
      </x:c>
      <x:c r="K193" s="68" t="n">
        <x:f>E193-D193</x:f>
        <x:v>-2</x:v>
      </x:c>
      <x:c r="L193" s="68" t="n">
        <x:f>ABS(K193)</x:f>
        <x:v>2</x:v>
      </x:c>
    </x:row>
    <x:row r="194" ht="22" customHeight="1">
      <x:c r="A194" s="68" t="str">
        <x:v>DOWN</x:v>
      </x:c>
      <x:c r="B194" s="68" t="str">
        <x:v>2026-02-21</x:v>
      </x:c>
      <x:c r="C194" s="68" t="n">
        <x:v>0</x:v>
      </x:c>
      <x:c r="D194" s="68" t="n">
        <x:v>6</x:v>
      </x:c>
      <x:c r="E194" s="68" t="n">
        <x:v>1</x:v>
      </x:c>
      <x:c r="F194" s="68" t="n">
        <x:v>7</x:v>
      </x:c>
      <x:c r="G194" s="68" t="n">
        <x:v>8</x:v>
      </x:c>
      <x:c r="H194" s="82" t="n">
        <x:v>143.56667</x:v>
      </x:c>
      <x:c r="I194" s="82" t="n">
        <x:v>0.19344</x:v>
      </x:c>
      <x:c r="J194" s="82" t="n">
        <x:v>23.16475</x:v>
      </x:c>
      <x:c r="K194" s="68" t="n">
        <x:f>E194-D194</x:f>
        <x:v>-5</x:v>
      </x:c>
      <x:c r="L194" s="68" t="n">
        <x:f>ABS(K194)</x:f>
        <x:v>5</x:v>
      </x:c>
    </x:row>
    <x:row r="195" ht="22" customHeight="1">
      <x:c r="A195" s="68" t="str">
        <x:v>DOWN</x:v>
      </x:c>
      <x:c r="B195" s="68" t="str">
        <x:v>2026-02-21</x:v>
      </x:c>
      <x:c r="C195" s="68" t="n">
        <x:v>1</x:v>
      </x:c>
      <x:c r="D195" s="68" t="n">
        <x:v>4</x:v>
      </x:c>
      <x:c r="E195" s="68" t="n">
        <x:v>2</x:v>
      </x:c>
      <x:c r="F195" s="68" t="n">
        <x:v>14</x:v>
      </x:c>
      <x:c r="G195" s="68" t="n">
        <x:v>16</x:v>
      </x:c>
      <x:c r="H195" s="82" t="n">
        <x:v>87.75</x:v>
      </x:c>
      <x:c r="I195" s="82" t="n">
        <x:v>55.190087</x:v>
      </x:c>
      <x:c r="J195" s="82" t="n">
        <x:v>54.976975</x:v>
      </x:c>
      <x:c r="K195" s="68" t="n">
        <x:f>E195-D195</x:f>
        <x:v>-2</x:v>
      </x:c>
      <x:c r="L195" s="68" t="n">
        <x:f>ABS(K195)</x:f>
        <x:v>2</x:v>
      </x:c>
    </x:row>
    <x:row r="196" ht="22" customHeight="1">
      <x:c r="A196" s="68" t="str">
        <x:v>DOWN</x:v>
      </x:c>
      <x:c r="B196" s="68" t="str">
        <x:v>2026-02-21</x:v>
      </x:c>
      <x:c r="C196" s="68" t="n">
        <x:v>2</x:v>
      </x:c>
      <x:c r="D196" s="68" t="n">
        <x:v>3</x:v>
      </x:c>
      <x:c r="E196" s="68" t="n">
        <x:v>4</x:v>
      </x:c>
      <x:c r="F196" s="68" t="n">
        <x:v>11</x:v>
      </x:c>
      <x:c r="G196" s="68" t="n">
        <x:v>15</x:v>
      </x:c>
      <x:c r="H196" s="82" t="n">
        <x:v>75.83333</x:v>
      </x:c>
      <x:c r="I196" s="82" t="n">
        <x:v>20.000576</x:v>
      </x:c>
      <x:c r="J196" s="82" t="n">
        <x:v>132.398795</x:v>
      </x:c>
      <x:c r="K196" s="68" t="n">
        <x:f>E196-D196</x:f>
        <x:v>1</x:v>
      </x:c>
      <x:c r="L196" s="68" t="n">
        <x:f>ABS(K196)</x:f>
        <x:v>1</x:v>
      </x:c>
    </x:row>
    <x:row r="197" ht="22" customHeight="1">
      <x:c r="A197" s="68" t="str">
        <x:v>DOWN</x:v>
      </x:c>
      <x:c r="B197" s="68" t="str">
        <x:v>2026-02-21</x:v>
      </x:c>
      <x:c r="C197" s="68" t="n">
        <x:v>3</x:v>
      </x:c>
      <x:c r="D197" s="68" t="n">
        <x:v>4</x:v>
      </x:c>
      <x:c r="E197" s="68" t="n">
        <x:v>2</x:v>
      </x:c>
      <x:c r="F197" s="68" t="n">
        <x:v>6</x:v>
      </x:c>
      <x:c r="G197" s="68" t="n">
        <x:v>8</x:v>
      </x:c>
      <x:c r="H197" s="82" t="n">
        <x:v>128.38333</x:v>
      </x:c>
      <x:c r="I197" s="82" t="n">
        <x:v>6.267743</x:v>
      </x:c>
      <x:c r="J197" s="82" t="n">
        <x:v>62.96277</x:v>
      </x:c>
      <x:c r="K197" s="68" t="n">
        <x:f>E197-D197</x:f>
        <x:v>-2</x:v>
      </x:c>
      <x:c r="L197" s="68" t="n">
        <x:f>ABS(K197)</x:f>
        <x:v>2</x:v>
      </x:c>
    </x:row>
    <x:row r="198" ht="22" customHeight="1">
      <x:c r="A198" s="68" t="str">
        <x:v>DOWN</x:v>
      </x:c>
      <x:c r="B198" s="68" t="str">
        <x:v>2026-02-21</x:v>
      </x:c>
      <x:c r="C198" s="68" t="n">
        <x:v>4</x:v>
      </x:c>
      <x:c r="D198" s="68" t="n">
        <x:v>3</x:v>
      </x:c>
      <x:c r="E198" s="68" t="n">
        <x:v>5</x:v>
      </x:c>
      <x:c r="F198" s="68" t="n">
        <x:v>10</x:v>
      </x:c>
      <x:c r="G198" s="68" t="n">
        <x:v>15</x:v>
      </x:c>
      <x:c r="H198" s="82" t="n">
        <x:v>82.75</x:v>
      </x:c>
      <x:c r="I198" s="82" t="n">
        <x:v>27.821744</x:v>
      </x:c>
      <x:c r="J198" s="82" t="n">
        <x:v>68.067725</x:v>
      </x:c>
      <x:c r="K198" s="68" t="n">
        <x:f>E198-D198</x:f>
        <x:v>2</x:v>
      </x:c>
      <x:c r="L198" s="68" t="n">
        <x:f>ABS(K198)</x:f>
        <x:v>2</x:v>
      </x:c>
    </x:row>
    <x:row r="199" ht="22" customHeight="1">
      <x:c r="A199" s="68" t="str">
        <x:v>DOWN</x:v>
      </x:c>
      <x:c r="B199" s="68" t="str">
        <x:v>2026-02-21</x:v>
      </x:c>
      <x:c r="C199" s="68" t="n">
        <x:v>5</x:v>
      </x:c>
      <x:c r="D199" s="68" t="n">
        <x:v>4</x:v>
      </x:c>
      <x:c r="E199" s="68" t="n">
        <x:v>7</x:v>
      </x:c>
      <x:c r="F199" s="68" t="n">
        <x:v>11</x:v>
      </x:c>
      <x:c r="G199" s="68" t="n">
        <x:v>18</x:v>
      </x:c>
      <x:c r="H199" s="82" t="n">
        <x:v>143.68332</x:v>
      </x:c>
      <x:c r="I199" s="82" t="n">
        <x:v>90.225979</x:v>
      </x:c>
      <x:c r="J199" s="82" t="n">
        <x:v>111.462624</x:v>
      </x:c>
      <x:c r="K199" s="68" t="n">
        <x:f>E199-D199</x:f>
        <x:v>3</x:v>
      </x:c>
      <x:c r="L199" s="68" t="n">
        <x:f>ABS(K199)</x:f>
        <x:v>3</x:v>
      </x:c>
    </x:row>
    <x:row r="200" ht="22" customHeight="1">
      <x:c r="A200" s="68" t="str">
        <x:v>DOWN</x:v>
      </x:c>
      <x:c r="B200" s="68" t="str">
        <x:v>2026-02-21</x:v>
      </x:c>
      <x:c r="C200" s="68" t="n">
        <x:v>6</x:v>
      </x:c>
      <x:c r="D200" s="68" t="n">
        <x:v>9</x:v>
      </x:c>
      <x:c r="E200" s="68" t="n">
        <x:v>5</x:v>
      </x:c>
      <x:c r="F200" s="68" t="n">
        <x:v>25</x:v>
      </x:c>
      <x:c r="G200" s="68" t="n">
        <x:v>30</x:v>
      </x:c>
      <x:c r="H200" s="82" t="n">
        <x:v>175.99999</x:v>
      </x:c>
      <x:c r="I200" s="82" t="n">
        <x:v>50.65677</x:v>
      </x:c>
      <x:c r="J200" s="82" t="n">
        <x:v>269.537147</x:v>
      </x:c>
      <x:c r="K200" s="68" t="n">
        <x:f>E200-D200</x:f>
        <x:v>-4</x:v>
      </x:c>
      <x:c r="L200" s="68" t="n">
        <x:f>ABS(K200)</x:f>
        <x:v>4</x:v>
      </x:c>
    </x:row>
    <x:row r="201" ht="22" customHeight="1">
      <x:c r="A201" s="68" t="str">
        <x:v>DOWN</x:v>
      </x:c>
      <x:c r="B201" s="68" t="str">
        <x:v>2026-02-21</x:v>
      </x:c>
      <x:c r="C201" s="68" t="n">
        <x:v>7</x:v>
      </x:c>
      <x:c r="D201" s="68" t="n">
        <x:v>16</x:v>
      </x:c>
      <x:c r="E201" s="68" t="n">
        <x:v>6</x:v>
      </x:c>
      <x:c r="F201" s="68" t="n">
        <x:v>31</x:v>
      </x:c>
      <x:c r="G201" s="68" t="n">
        <x:v>37</x:v>
      </x:c>
      <x:c r="H201" s="82" t="n">
        <x:v>392.24999</x:v>
      </x:c>
      <x:c r="I201" s="82" t="n">
        <x:v>114.250374</x:v>
      </x:c>
      <x:c r="J201" s="82" t="n">
        <x:v>200.106387</x:v>
      </x:c>
      <x:c r="K201" s="68" t="n">
        <x:f>E201-D201</x:f>
        <x:v>-10</x:v>
      </x:c>
      <x:c r="L201" s="68" t="n">
        <x:f>ABS(K201)</x:f>
        <x:v>10</x:v>
      </x:c>
    </x:row>
    <x:row r="202" ht="22" customHeight="1">
      <x:c r="A202" s="68" t="str">
        <x:v>DOWN</x:v>
      </x:c>
      <x:c r="B202" s="68" t="str">
        <x:v>2026-02-21</x:v>
      </x:c>
      <x:c r="C202" s="68" t="n">
        <x:v>8</x:v>
      </x:c>
      <x:c r="D202" s="68" t="n">
        <x:v>19</x:v>
      </x:c>
      <x:c r="E202" s="68" t="n">
        <x:v>17</x:v>
      </x:c>
      <x:c r="F202" s="68" t="n">
        <x:v>44</x:v>
      </x:c>
      <x:c r="G202" s="68" t="n">
        <x:v>61</x:v>
      </x:c>
      <x:c r="H202" s="82" t="n">
        <x:v>447.75</x:v>
      </x:c>
      <x:c r="I202" s="82" t="n">
        <x:v>141.784692</x:v>
      </x:c>
      <x:c r="J202" s="82" t="n">
        <x:v>317.68109</x:v>
      </x:c>
      <x:c r="K202" s="68" t="n">
        <x:f>E202-D202</x:f>
        <x:v>-2</x:v>
      </x:c>
      <x:c r="L202" s="68" t="n">
        <x:f>ABS(K202)</x:f>
        <x:v>2</x:v>
      </x:c>
    </x:row>
    <x:row r="203" ht="22" customHeight="1">
      <x:c r="A203" s="68" t="str">
        <x:v>DOWN</x:v>
      </x:c>
      <x:c r="B203" s="68" t="str">
        <x:v>2026-02-21</x:v>
      </x:c>
      <x:c r="C203" s="68" t="n">
        <x:v>9</x:v>
      </x:c>
      <x:c r="D203" s="68" t="n">
        <x:v>28</x:v>
      </x:c>
      <x:c r="E203" s="68" t="n">
        <x:v>13</x:v>
      </x:c>
      <x:c r="F203" s="68" t="n">
        <x:v>62</x:v>
      </x:c>
      <x:c r="G203" s="68" t="n">
        <x:v>75</x:v>
      </x:c>
      <x:c r="H203" s="82" t="n">
        <x:v>804.88333</x:v>
      </x:c>
      <x:c r="I203" s="82" t="n">
        <x:v>126.038022</x:v>
      </x:c>
      <x:c r="J203" s="82" t="n">
        <x:v>396.391325</x:v>
      </x:c>
      <x:c r="K203" s="68" t="n">
        <x:f>E203-D203</x:f>
        <x:v>-15</x:v>
      </x:c>
      <x:c r="L203" s="68" t="n">
        <x:f>ABS(K203)</x:f>
        <x:v>15</x:v>
      </x:c>
    </x:row>
    <x:row r="204" ht="22" customHeight="1">
      <x:c r="A204" s="68" t="str">
        <x:v>DOWN</x:v>
      </x:c>
      <x:c r="B204" s="68" t="str">
        <x:v>2026-02-21</x:v>
      </x:c>
      <x:c r="C204" s="68" t="n">
        <x:v>10</x:v>
      </x:c>
      <x:c r="D204" s="68" t="n">
        <x:v>30</x:v>
      </x:c>
      <x:c r="E204" s="68" t="n">
        <x:v>16</x:v>
      </x:c>
      <x:c r="F204" s="68" t="n">
        <x:v>43</x:v>
      </x:c>
      <x:c r="G204" s="68" t="n">
        <x:v>59</x:v>
      </x:c>
      <x:c r="H204" s="82" t="n">
        <x:v>855.18333</x:v>
      </x:c>
      <x:c r="I204" s="82" t="n">
        <x:v>121.913135</x:v>
      </x:c>
      <x:c r="J204" s="82" t="n">
        <x:v>366.861765</x:v>
      </x:c>
      <x:c r="K204" s="68" t="n">
        <x:f>E204-D204</x:f>
        <x:v>-14</x:v>
      </x:c>
      <x:c r="L204" s="68" t="n">
        <x:f>ABS(K204)</x:f>
        <x:v>14</x:v>
      </x:c>
    </x:row>
    <x:row r="205" ht="22" customHeight="1">
      <x:c r="A205" s="68" t="str">
        <x:v>DOWN</x:v>
      </x:c>
      <x:c r="B205" s="68" t="str">
        <x:v>2026-02-21</x:v>
      </x:c>
      <x:c r="C205" s="68" t="n">
        <x:v>11</x:v>
      </x:c>
      <x:c r="D205" s="68" t="n">
        <x:v>31</x:v>
      </x:c>
      <x:c r="E205" s="68" t="n">
        <x:v>21</x:v>
      </x:c>
      <x:c r="F205" s="68" t="n">
        <x:v>59</x:v>
      </x:c>
      <x:c r="G205" s="68" t="n">
        <x:v>80</x:v>
      </x:c>
      <x:c r="H205" s="82" t="n">
        <x:v>765.7</x:v>
      </x:c>
      <x:c r="I205" s="82" t="n">
        <x:v>257.919745</x:v>
      </x:c>
      <x:c r="J205" s="82" t="n">
        <x:v>395.439736</x:v>
      </x:c>
      <x:c r="K205" s="68" t="n">
        <x:f>E205-D205</x:f>
        <x:v>-10</x:v>
      </x:c>
      <x:c r="L205" s="68" t="n">
        <x:f>ABS(K205)</x:f>
        <x:v>10</x:v>
      </x:c>
    </x:row>
    <x:row r="206" ht="22" customHeight="1">
      <x:c r="A206" s="68" t="str">
        <x:v>DOWN</x:v>
      </x:c>
      <x:c r="B206" s="68" t="str">
        <x:v>2026-02-21</x:v>
      </x:c>
      <x:c r="C206" s="68" t="n">
        <x:v>12</x:v>
      </x:c>
      <x:c r="D206" s="68" t="n">
        <x:v>33</x:v>
      </x:c>
      <x:c r="E206" s="68" t="n">
        <x:v>27</x:v>
      </x:c>
      <x:c r="F206" s="68" t="n">
        <x:v>47</x:v>
      </x:c>
      <x:c r="G206" s="68" t="n">
        <x:v>74</x:v>
      </x:c>
      <x:c r="H206" s="82" t="n">
        <x:v>961.65</x:v>
      </x:c>
      <x:c r="I206" s="82" t="n">
        <x:v>358.536153</x:v>
      </x:c>
      <x:c r="J206" s="82" t="n">
        <x:v>393.522264</x:v>
      </x:c>
      <x:c r="K206" s="68" t="n">
        <x:f>E206-D206</x:f>
        <x:v>-6</x:v>
      </x:c>
      <x:c r="L206" s="68" t="n">
        <x:f>ABS(K206)</x:f>
        <x:v>6</x:v>
      </x:c>
    </x:row>
    <x:row r="207" ht="22" customHeight="1">
      <x:c r="A207" s="68" t="str">
        <x:v>DOWN</x:v>
      </x:c>
      <x:c r="B207" s="68" t="str">
        <x:v>2026-02-21</x:v>
      </x:c>
      <x:c r="C207" s="68" t="n">
        <x:v>13</x:v>
      </x:c>
      <x:c r="D207" s="68" t="n">
        <x:v>28</x:v>
      </x:c>
      <x:c r="E207" s="68" t="n">
        <x:v>23</x:v>
      </x:c>
      <x:c r="F207" s="68" t="n">
        <x:v>62</x:v>
      </x:c>
      <x:c r="G207" s="68" t="n">
        <x:v>85</x:v>
      </x:c>
      <x:c r="H207" s="82" t="n">
        <x:v>870.25</x:v>
      </x:c>
      <x:c r="I207" s="82" t="n">
        <x:v>243.498774</x:v>
      </x:c>
      <x:c r="J207" s="82" t="n">
        <x:v>505.368494</x:v>
      </x:c>
      <x:c r="K207" s="68" t="n">
        <x:f>E207-D207</x:f>
        <x:v>-5</x:v>
      </x:c>
      <x:c r="L207" s="68" t="n">
        <x:f>ABS(K207)</x:f>
        <x:v>5</x:v>
      </x:c>
    </x:row>
    <x:row r="208" ht="22" customHeight="1">
      <x:c r="A208" s="68" t="str">
        <x:v>DOWN</x:v>
      </x:c>
      <x:c r="B208" s="68" t="str">
        <x:v>2026-02-21</x:v>
      </x:c>
      <x:c r="C208" s="68" t="n">
        <x:v>14</x:v>
      </x:c>
      <x:c r="D208" s="68" t="n">
        <x:v>26</x:v>
      </x:c>
      <x:c r="E208" s="68" t="n">
        <x:v>23</x:v>
      </x:c>
      <x:c r="F208" s="68" t="n">
        <x:v>56</x:v>
      </x:c>
      <x:c r="G208" s="68" t="n">
        <x:v>79</x:v>
      </x:c>
      <x:c r="H208" s="82" t="n">
        <x:v>681.76667</x:v>
      </x:c>
      <x:c r="I208" s="82" t="n">
        <x:v>389.493395</x:v>
      </x:c>
      <x:c r="J208" s="82" t="n">
        <x:v>577.829037</x:v>
      </x:c>
      <x:c r="K208" s="68" t="n">
        <x:f>E208-D208</x:f>
        <x:v>-3</x:v>
      </x:c>
      <x:c r="L208" s="68" t="n">
        <x:f>ABS(K208)</x:f>
        <x:v>3</x:v>
      </x:c>
    </x:row>
    <x:row r="209" ht="22" customHeight="1">
      <x:c r="A209" s="68" t="str">
        <x:v>DOWN</x:v>
      </x:c>
      <x:c r="B209" s="68" t="str">
        <x:v>2026-02-21</x:v>
      </x:c>
      <x:c r="C209" s="68" t="n">
        <x:v>15</x:v>
      </x:c>
      <x:c r="D209" s="68" t="n">
        <x:v>27</x:v>
      </x:c>
      <x:c r="E209" s="68" t="n">
        <x:v>18</x:v>
      </x:c>
      <x:c r="F209" s="68" t="n">
        <x:v>66</x:v>
      </x:c>
      <x:c r="G209" s="68" t="n">
        <x:v>84</x:v>
      </x:c>
      <x:c r="H209" s="82" t="n">
        <x:v>883.78334</x:v>
      </x:c>
      <x:c r="I209" s="82" t="n">
        <x:v>275.737118</x:v>
      </x:c>
      <x:c r="J209" s="82" t="n">
        <x:v>624.843198</x:v>
      </x:c>
      <x:c r="K209" s="68" t="n">
        <x:f>E209-D209</x:f>
        <x:v>-9</x:v>
      </x:c>
      <x:c r="L209" s="68" t="n">
        <x:f>ABS(K209)</x:f>
        <x:v>9</x:v>
      </x:c>
    </x:row>
    <x:row r="210" ht="22" customHeight="1">
      <x:c r="A210" s="68" t="str">
        <x:v>DOWN</x:v>
      </x:c>
      <x:c r="B210" s="68" t="str">
        <x:v>2026-02-21</x:v>
      </x:c>
      <x:c r="C210" s="68" t="n">
        <x:v>16</x:v>
      </x:c>
      <x:c r="D210" s="68" t="n">
        <x:v>34</x:v>
      </x:c>
      <x:c r="E210" s="68" t="n">
        <x:v>25</x:v>
      </x:c>
      <x:c r="F210" s="68" t="n">
        <x:v>67</x:v>
      </x:c>
      <x:c r="G210" s="68" t="n">
        <x:v>92</x:v>
      </x:c>
      <x:c r="H210" s="82" t="n">
        <x:v>929.83333</x:v>
      </x:c>
      <x:c r="I210" s="82" t="n">
        <x:v>323.120947</x:v>
      </x:c>
      <x:c r="J210" s="82" t="n">
        <x:v>738.964115</x:v>
      </x:c>
      <x:c r="K210" s="68" t="n">
        <x:f>E210-D210</x:f>
        <x:v>-9</x:v>
      </x:c>
      <x:c r="L210" s="68" t="n">
        <x:f>ABS(K210)</x:f>
        <x:v>9</x:v>
      </x:c>
    </x:row>
    <x:row r="211" ht="22" customHeight="1">
      <x:c r="A211" s="68" t="str">
        <x:v>DOWN</x:v>
      </x:c>
      <x:c r="B211" s="68" t="str">
        <x:v>2026-02-21</x:v>
      </x:c>
      <x:c r="C211" s="68" t="n">
        <x:v>17</x:v>
      </x:c>
      <x:c r="D211" s="68" t="n">
        <x:v>31</x:v>
      </x:c>
      <x:c r="E211" s="68" t="n">
        <x:v>26</x:v>
      </x:c>
      <x:c r="F211" s="68" t="n">
        <x:v>61</x:v>
      </x:c>
      <x:c r="G211" s="68" t="n">
        <x:v>87</x:v>
      </x:c>
      <x:c r="H211" s="82" t="n">
        <x:v>571.63333</x:v>
      </x:c>
      <x:c r="I211" s="82" t="n">
        <x:v>420.238649</x:v>
      </x:c>
      <x:c r="J211" s="82" t="n">
        <x:v>668.37131</x:v>
      </x:c>
      <x:c r="K211" s="68" t="n">
        <x:f>E211-D211</x:f>
        <x:v>-5</x:v>
      </x:c>
      <x:c r="L211" s="68" t="n">
        <x:f>ABS(K211)</x:f>
        <x:v>5</x:v>
      </x:c>
    </x:row>
    <x:row r="212" ht="22" customHeight="1">
      <x:c r="A212" s="68" t="str">
        <x:v>DOWN</x:v>
      </x:c>
      <x:c r="B212" s="68" t="str">
        <x:v>2026-02-21</x:v>
      </x:c>
      <x:c r="C212" s="68" t="n">
        <x:v>18</x:v>
      </x:c>
      <x:c r="D212" s="68" t="n">
        <x:v>20</x:v>
      </x:c>
      <x:c r="E212" s="68" t="n">
        <x:v>28</x:v>
      </x:c>
      <x:c r="F212" s="68" t="n">
        <x:v>54</x:v>
      </x:c>
      <x:c r="G212" s="68" t="n">
        <x:v>82</x:v>
      </x:c>
      <x:c r="H212" s="82" t="n">
        <x:v>629.78332</x:v>
      </x:c>
      <x:c r="I212" s="82" t="n">
        <x:v>348.368014</x:v>
      </x:c>
      <x:c r="J212" s="82" t="n">
        <x:v>481.541816</x:v>
      </x:c>
      <x:c r="K212" s="68" t="n">
        <x:f>E212-D212</x:f>
        <x:v>8</x:v>
      </x:c>
      <x:c r="L212" s="68" t="n">
        <x:f>ABS(K212)</x:f>
        <x:v>8</x:v>
      </x:c>
    </x:row>
    <x:row r="213" ht="22" customHeight="1">
      <x:c r="A213" s="68" t="str">
        <x:v>DOWN</x:v>
      </x:c>
      <x:c r="B213" s="68" t="str">
        <x:v>2026-02-21</x:v>
      </x:c>
      <x:c r="C213" s="68" t="n">
        <x:v>19</x:v>
      </x:c>
      <x:c r="D213" s="68" t="n">
        <x:v>19</x:v>
      </x:c>
      <x:c r="E213" s="68" t="n">
        <x:v>21</x:v>
      </x:c>
      <x:c r="F213" s="68" t="n">
        <x:v>61</x:v>
      </x:c>
      <x:c r="G213" s="68" t="n">
        <x:v>82</x:v>
      </x:c>
      <x:c r="H213" s="82" t="n">
        <x:v>380.25</x:v>
      </x:c>
      <x:c r="I213" s="82" t="n">
        <x:v>381.939852</x:v>
      </x:c>
      <x:c r="J213" s="82" t="n">
        <x:v>489.029592</x:v>
      </x:c>
      <x:c r="K213" s="68" t="n">
        <x:f>E213-D213</x:f>
        <x:v>2</x:v>
      </x:c>
      <x:c r="L213" s="68" t="n">
        <x:f>ABS(K213)</x:f>
        <x:v>2</x:v>
      </x:c>
    </x:row>
    <x:row r="214" ht="22" customHeight="1">
      <x:c r="A214" s="68" t="str">
        <x:v>DOWN</x:v>
      </x:c>
      <x:c r="B214" s="68" t="str">
        <x:v>2026-02-21</x:v>
      </x:c>
      <x:c r="C214" s="68" t="n">
        <x:v>20</x:v>
      </x:c>
      <x:c r="D214" s="68" t="n">
        <x:v>15</x:v>
      </x:c>
      <x:c r="E214" s="68" t="n">
        <x:v>12</x:v>
      </x:c>
      <x:c r="F214" s="68" t="n">
        <x:v>41</x:v>
      </x:c>
      <x:c r="G214" s="68" t="n">
        <x:v>53</x:v>
      </x:c>
      <x:c r="H214" s="82" t="n">
        <x:v>353.51666</x:v>
      </x:c>
      <x:c r="I214" s="82" t="n">
        <x:v>115.346603</x:v>
      </x:c>
      <x:c r="J214" s="82" t="n">
        <x:v>371.194972</x:v>
      </x:c>
      <x:c r="K214" s="68" t="n">
        <x:f>E214-D214</x:f>
        <x:v>-3</x:v>
      </x:c>
      <x:c r="L214" s="68" t="n">
        <x:f>ABS(K214)</x:f>
        <x:v>3</x:v>
      </x:c>
    </x:row>
    <x:row r="215" ht="22" customHeight="1">
      <x:c r="A215" s="68" t="str">
        <x:v>DOWN</x:v>
      </x:c>
      <x:c r="B215" s="68" t="str">
        <x:v>2026-02-21</x:v>
      </x:c>
      <x:c r="C215" s="68" t="n">
        <x:v>21</x:v>
      </x:c>
      <x:c r="D215" s="68" t="n">
        <x:v>11</x:v>
      </x:c>
      <x:c r="E215" s="68" t="n">
        <x:v>13</x:v>
      </x:c>
      <x:c r="F215" s="68" t="n">
        <x:v>22</x:v>
      </x:c>
      <x:c r="G215" s="68" t="n">
        <x:v>35</x:v>
      </x:c>
      <x:c r="H215" s="82" t="n">
        <x:v>303.88334</x:v>
      </x:c>
      <x:c r="I215" s="82" t="n">
        <x:v>161.397836</x:v>
      </x:c>
      <x:c r="J215" s="82" t="n">
        <x:v>166.653706</x:v>
      </x:c>
      <x:c r="K215" s="68" t="n">
        <x:f>E215-D215</x:f>
        <x:v>2</x:v>
      </x:c>
      <x:c r="L215" s="68" t="n">
        <x:f>ABS(K215)</x:f>
        <x:v>2</x:v>
      </x:c>
    </x:row>
    <x:row r="216" ht="22" customHeight="1">
      <x:c r="A216" s="68" t="str">
        <x:v>DOWN</x:v>
      </x:c>
      <x:c r="B216" s="68" t="str">
        <x:v>2026-02-21</x:v>
      </x:c>
      <x:c r="C216" s="68" t="n">
        <x:v>22</x:v>
      </x:c>
      <x:c r="D216" s="68" t="n">
        <x:v>12</x:v>
      </x:c>
      <x:c r="E216" s="68" t="n">
        <x:v>10</x:v>
      </x:c>
      <x:c r="F216" s="68" t="n">
        <x:v>16</x:v>
      </x:c>
      <x:c r="G216" s="68" t="n">
        <x:v>26</x:v>
      </x:c>
      <x:c r="H216" s="82" t="n">
        <x:v>323.88332</x:v>
      </x:c>
      <x:c r="I216" s="82" t="n">
        <x:v>49.406206</x:v>
      </x:c>
      <x:c r="J216" s="82" t="n">
        <x:v>121.953985</x:v>
      </x:c>
      <x:c r="K216" s="68" t="n">
        <x:f>E216-D216</x:f>
        <x:v>-2</x:v>
      </x:c>
      <x:c r="L216" s="68" t="n">
        <x:f>ABS(K216)</x:f>
        <x:v>2</x:v>
      </x:c>
    </x:row>
    <x:row r="217" ht="22" customHeight="1">
      <x:c r="A217" s="68" t="str">
        <x:v>DOWN</x:v>
      </x:c>
      <x:c r="B217" s="68" t="str">
        <x:v>2026-02-21</x:v>
      </x:c>
      <x:c r="C217" s="68" t="n">
        <x:v>23</x:v>
      </x:c>
      <x:c r="D217" s="68" t="n">
        <x:v>9</x:v>
      </x:c>
      <x:c r="E217" s="68" t="n">
        <x:v>7</x:v>
      </x:c>
      <x:c r="F217" s="68" t="n">
        <x:v>11</x:v>
      </x:c>
      <x:c r="G217" s="68" t="n">
        <x:v>18</x:v>
      </x:c>
      <x:c r="H217" s="82" t="n">
        <x:v>319</x:v>
      </x:c>
      <x:c r="I217" s="82" t="n">
        <x:v>117.478598</x:v>
      </x:c>
      <x:c r="J217" s="82" t="n">
        <x:v>150.261254</x:v>
      </x:c>
      <x:c r="K217" s="68" t="n">
        <x:f>E217-D217</x:f>
        <x:v>-2</x:v>
      </x:c>
      <x:c r="L217" s="68" t="n">
        <x:f>ABS(K217)</x:f>
        <x:v>2</x:v>
      </x:c>
    </x:row>
    <x:row r="218" ht="22" customHeight="1">
      <x:c r="A218" s="68" t="str">
        <x:v>DOWN</x:v>
      </x:c>
      <x:c r="B218" s="68" t="str">
        <x:v>2026-02-22</x:v>
      </x:c>
      <x:c r="C218" s="68" t="n">
        <x:v>0</x:v>
      </x:c>
      <x:c r="D218" s="68" t="n">
        <x:v>6</x:v>
      </x:c>
      <x:c r="E218" s="68" t="n">
        <x:v>0</x:v>
      </x:c>
      <x:c r="F218" s="68" t="n">
        <x:v>5</x:v>
      </x:c>
      <x:c r="G218" s="68" t="n">
        <x:v>5</x:v>
      </x:c>
      <x:c r="H218" s="82" t="n">
        <x:v>123.69999</x:v>
      </x:c>
      <x:c r="I218" s="82" t="n">
        <x:v>0</x:v>
      </x:c>
      <x:c r="J218" s="82" t="n">
        <x:v>12.624456</x:v>
      </x:c>
      <x:c r="K218" s="68" t="n">
        <x:f>E218-D218</x:f>
        <x:v>-6</x:v>
      </x:c>
      <x:c r="L218" s="68" t="n">
        <x:f>ABS(K218)</x:f>
        <x:v>6</x:v>
      </x:c>
    </x:row>
    <x:row r="219" ht="22" customHeight="1">
      <x:c r="A219" s="68" t="str">
        <x:v>DOWN</x:v>
      </x:c>
      <x:c r="B219" s="68" t="str">
        <x:v>2026-02-22</x:v>
      </x:c>
      <x:c r="C219" s="68" t="n">
        <x:v>1</x:v>
      </x:c>
      <x:c r="D219" s="68" t="n">
        <x:v>2</x:v>
      </x:c>
      <x:c r="E219" s="68" t="n">
        <x:v>7</x:v>
      </x:c>
      <x:c r="F219" s="68" t="n">
        <x:v>9</x:v>
      </x:c>
      <x:c r="G219" s="68" t="n">
        <x:v>16</x:v>
      </x:c>
      <x:c r="H219" s="82" t="n">
        <x:v>43.53333</x:v>
      </x:c>
      <x:c r="I219" s="82" t="n">
        <x:v>65.184549</x:v>
      </x:c>
      <x:c r="J219" s="82" t="n">
        <x:v>42.220489</x:v>
      </x:c>
      <x:c r="K219" s="68" t="n">
        <x:f>E219-D219</x:f>
        <x:v>5</x:v>
      </x:c>
      <x:c r="L219" s="68" t="n">
        <x:f>ABS(K219)</x:f>
        <x:v>5</x:v>
      </x:c>
    </x:row>
    <x:row r="220" ht="22" customHeight="1">
      <x:c r="A220" s="68" t="str">
        <x:v>DOWN</x:v>
      </x:c>
      <x:c r="B220" s="68" t="str">
        <x:v>2026-02-22</x:v>
      </x:c>
      <x:c r="C220" s="68" t="n">
        <x:v>2</x:v>
      </x:c>
      <x:c r="D220" s="68" t="n">
        <x:v>3</x:v>
      </x:c>
      <x:c r="E220" s="68" t="n">
        <x:v>6</x:v>
      </x:c>
      <x:c r="F220" s="68" t="n">
        <x:v>3</x:v>
      </x:c>
      <x:c r="G220" s="68" t="n">
        <x:v>9</x:v>
      </x:c>
      <x:c r="H220" s="82" t="n">
        <x:v>80.36667</x:v>
      </x:c>
      <x:c r="I220" s="82" t="n">
        <x:v>58.233061</x:v>
      </x:c>
      <x:c r="J220" s="82" t="n">
        <x:v>15.703558</x:v>
      </x:c>
      <x:c r="K220" s="68" t="n">
        <x:f>E220-D220</x:f>
        <x:v>3</x:v>
      </x:c>
      <x:c r="L220" s="68" t="n">
        <x:f>ABS(K220)</x:f>
        <x:v>3</x:v>
      </x:c>
    </x:row>
    <x:row r="221" ht="22" customHeight="1">
      <x:c r="A221" s="68" t="str">
        <x:v>DOWN</x:v>
      </x:c>
      <x:c r="B221" s="68" t="str">
        <x:v>2026-02-22</x:v>
      </x:c>
      <x:c r="C221" s="68" t="n">
        <x:v>3</x:v>
      </x:c>
      <x:c r="D221" s="68" t="n">
        <x:v>2</x:v>
      </x:c>
      <x:c r="E221" s="68" t="n">
        <x:v>4</x:v>
      </x:c>
      <x:c r="F221" s="68" t="n">
        <x:v>6</x:v>
      </x:c>
      <x:c r="G221" s="68" t="n">
        <x:v>10</x:v>
      </x:c>
      <x:c r="H221" s="82" t="n">
        <x:v>50.76667</x:v>
      </x:c>
      <x:c r="I221" s="82" t="n">
        <x:v>63.232024</x:v>
      </x:c>
      <x:c r="J221" s="82" t="n">
        <x:v>56.874406</x:v>
      </x:c>
      <x:c r="K221" s="68" t="n">
        <x:f>E221-D221</x:f>
        <x:v>2</x:v>
      </x:c>
      <x:c r="L221" s="68" t="n">
        <x:f>ABS(K221)</x:f>
        <x:v>2</x:v>
      </x:c>
    </x:row>
    <x:row r="222" ht="22" customHeight="1">
      <x:c r="A222" s="68" t="str">
        <x:v>DOWN</x:v>
      </x:c>
      <x:c r="B222" s="68" t="str">
        <x:v>2026-02-22</x:v>
      </x:c>
      <x:c r="C222" s="68" t="n">
        <x:v>4</x:v>
      </x:c>
      <x:c r="D222" s="68" t="n">
        <x:v>2</x:v>
      </x:c>
      <x:c r="E222" s="68" t="n">
        <x:v>1</x:v>
      </x:c>
      <x:c r="F222" s="68" t="n">
        <x:v>6</x:v>
      </x:c>
      <x:c r="G222" s="68" t="n">
        <x:v>7</x:v>
      </x:c>
      <x:c r="H222" s="82" t="n">
        <x:v>50.26666</x:v>
      </x:c>
      <x:c r="I222" s="82" t="n">
        <x:v>17.101258</x:v>
      </x:c>
      <x:c r="J222" s="82" t="n">
        <x:v>91.220411</x:v>
      </x:c>
      <x:c r="K222" s="68" t="n">
        <x:f>E222-D222</x:f>
        <x:v>-1</x:v>
      </x:c>
      <x:c r="L222" s="68" t="n">
        <x:f>ABS(K222)</x:f>
        <x:v>1</x:v>
      </x:c>
    </x:row>
    <x:row r="223" ht="22" customHeight="1">
      <x:c r="A223" s="68" t="str">
        <x:v>DOWN</x:v>
      </x:c>
      <x:c r="B223" s="68" t="str">
        <x:v>2026-02-22</x:v>
      </x:c>
      <x:c r="C223" s="68" t="n">
        <x:v>5</x:v>
      </x:c>
      <x:c r="D223" s="68" t="n">
        <x:v>5</x:v>
      </x:c>
      <x:c r="E223" s="68" t="n">
        <x:v>3</x:v>
      </x:c>
      <x:c r="F223" s="68" t="n">
        <x:v>12</x:v>
      </x:c>
      <x:c r="G223" s="68" t="n">
        <x:v>15</x:v>
      </x:c>
      <x:c r="H223" s="82" t="n">
        <x:v>80.48333</x:v>
      </x:c>
      <x:c r="I223" s="82" t="n">
        <x:v>44.5102</x:v>
      </x:c>
      <x:c r="J223" s="82" t="n">
        <x:v>75.399965</x:v>
      </x:c>
      <x:c r="K223" s="68" t="n">
        <x:f>E223-D223</x:f>
        <x:v>-2</x:v>
      </x:c>
      <x:c r="L223" s="68" t="n">
        <x:f>ABS(K223)</x:f>
        <x:v>2</x:v>
      </x:c>
    </x:row>
    <x:row r="224" ht="22" customHeight="1">
      <x:c r="A224" s="68" t="str">
        <x:v>DOWN</x:v>
      </x:c>
      <x:c r="B224" s="68" t="str">
        <x:v>2026-02-22</x:v>
      </x:c>
      <x:c r="C224" s="68" t="n">
        <x:v>6</x:v>
      </x:c>
      <x:c r="D224" s="68" t="n">
        <x:v>6</x:v>
      </x:c>
      <x:c r="E224" s="68" t="n">
        <x:v>4</x:v>
      </x:c>
      <x:c r="F224" s="68" t="n">
        <x:v>16</x:v>
      </x:c>
      <x:c r="G224" s="68" t="n">
        <x:v>20</x:v>
      </x:c>
      <x:c r="H224" s="82" t="n">
        <x:v>197.61667</x:v>
      </x:c>
      <x:c r="I224" s="82" t="n">
        <x:v>53.365474</x:v>
      </x:c>
      <x:c r="J224" s="82" t="n">
        <x:v>150.256016</x:v>
      </x:c>
      <x:c r="K224" s="68" t="n">
        <x:f>E224-D224</x:f>
        <x:v>-2</x:v>
      </x:c>
      <x:c r="L224" s="68" t="n">
        <x:f>ABS(K224)</x:f>
        <x:v>2</x:v>
      </x:c>
    </x:row>
    <x:row r="225" ht="22" customHeight="1">
      <x:c r="A225" s="68" t="str">
        <x:v>DOWN</x:v>
      </x:c>
      <x:c r="B225" s="68" t="str">
        <x:v>2026-02-22</x:v>
      </x:c>
      <x:c r="C225" s="68" t="n">
        <x:v>7</x:v>
      </x:c>
      <x:c r="D225" s="68" t="n">
        <x:v>10</x:v>
      </x:c>
      <x:c r="E225" s="68" t="n">
        <x:v>8</x:v>
      </x:c>
      <x:c r="F225" s="68" t="n">
        <x:v>18</x:v>
      </x:c>
      <x:c r="G225" s="68" t="n">
        <x:v>26</x:v>
      </x:c>
      <x:c r="H225" s="82" t="n">
        <x:v>271.95</x:v>
      </x:c>
      <x:c r="I225" s="82" t="n">
        <x:v>111.660869</x:v>
      </x:c>
      <x:c r="J225" s="82" t="n">
        <x:v>68.993189</x:v>
      </x:c>
      <x:c r="K225" s="68" t="n">
        <x:f>E225-D225</x:f>
        <x:v>-2</x:v>
      </x:c>
      <x:c r="L225" s="68" t="n">
        <x:f>ABS(K225)</x:f>
        <x:v>2</x:v>
      </x:c>
    </x:row>
    <x:row r="226" ht="22" customHeight="1">
      <x:c r="A226" s="68" t="str">
        <x:v>DOWN</x:v>
      </x:c>
      <x:c r="B226" s="68" t="str">
        <x:v>2026-02-22</x:v>
      </x:c>
      <x:c r="C226" s="68" t="n">
        <x:v>8</x:v>
      </x:c>
      <x:c r="D226" s="68" t="n">
        <x:v>13</x:v>
      </x:c>
      <x:c r="E226" s="68" t="n">
        <x:v>17</x:v>
      </x:c>
      <x:c r="F226" s="68" t="n">
        <x:v>39</x:v>
      </x:c>
      <x:c r="G226" s="68" t="n">
        <x:v>56</x:v>
      </x:c>
      <x:c r="H226" s="82" t="n">
        <x:v>276.58333</x:v>
      </x:c>
      <x:c r="I226" s="82" t="n">
        <x:v>143.831283</x:v>
      </x:c>
      <x:c r="J226" s="82" t="n">
        <x:v>266.088568</x:v>
      </x:c>
      <x:c r="K226" s="68" t="n">
        <x:f>E226-D226</x:f>
        <x:v>4</x:v>
      </x:c>
      <x:c r="L226" s="68" t="n">
        <x:f>ABS(K226)</x:f>
        <x:v>4</x:v>
      </x:c>
    </x:row>
    <x:row r="227" ht="22" customHeight="1">
      <x:c r="A227" s="68" t="str">
        <x:v>DOWN</x:v>
      </x:c>
      <x:c r="B227" s="68" t="str">
        <x:v>2026-02-22</x:v>
      </x:c>
      <x:c r="C227" s="68" t="n">
        <x:v>9</x:v>
      </x:c>
      <x:c r="D227" s="68" t="n">
        <x:v>11</x:v>
      </x:c>
      <x:c r="E227" s="68" t="n">
        <x:v>10</x:v>
      </x:c>
      <x:c r="F227" s="68" t="n">
        <x:v>33</x:v>
      </x:c>
      <x:c r="G227" s="68" t="n">
        <x:v>43</x:v>
      </x:c>
      <x:c r="H227" s="82" t="n">
        <x:v>469.28332</x:v>
      </x:c>
      <x:c r="I227" s="82" t="n">
        <x:v>82.938641</x:v>
      </x:c>
      <x:c r="J227" s="82" t="n">
        <x:v>207.851855</x:v>
      </x:c>
      <x:c r="K227" s="68" t="n">
        <x:f>E227-D227</x:f>
        <x:v>-1</x:v>
      </x:c>
      <x:c r="L227" s="68" t="n">
        <x:f>ABS(K227)</x:f>
        <x:v>1</x:v>
      </x:c>
    </x:row>
    <x:row r="228" ht="22" customHeight="1">
      <x:c r="A228" s="68" t="str">
        <x:v>DOWN</x:v>
      </x:c>
      <x:c r="B228" s="68" t="str">
        <x:v>2026-02-22</x:v>
      </x:c>
      <x:c r="C228" s="68" t="n">
        <x:v>10</x:v>
      </x:c>
      <x:c r="D228" s="68" t="n">
        <x:v>23</x:v>
      </x:c>
      <x:c r="E228" s="68" t="n">
        <x:v>11</x:v>
      </x:c>
      <x:c r="F228" s="68" t="n">
        <x:v>49</x:v>
      </x:c>
      <x:c r="G228" s="68" t="n">
        <x:v>60</x:v>
      </x:c>
      <x:c r="H228" s="82" t="n">
        <x:v>587.61666</x:v>
      </x:c>
      <x:c r="I228" s="82" t="n">
        <x:v>99.269582</x:v>
      </x:c>
      <x:c r="J228" s="82" t="n">
        <x:v>254.294134</x:v>
      </x:c>
      <x:c r="K228" s="68" t="n">
        <x:f>E228-D228</x:f>
        <x:v>-12</x:v>
      </x:c>
      <x:c r="L228" s="68" t="n">
        <x:f>ABS(K228)</x:f>
        <x:v>12</x:v>
      </x:c>
    </x:row>
    <x:row r="229" ht="22" customHeight="1">
      <x:c r="A229" s="68" t="str">
        <x:v>DOWN</x:v>
      </x:c>
      <x:c r="B229" s="68" t="str">
        <x:v>2026-02-22</x:v>
      </x:c>
      <x:c r="C229" s="68" t="n">
        <x:v>11</x:v>
      </x:c>
      <x:c r="D229" s="68" t="n">
        <x:v>23</x:v>
      </x:c>
      <x:c r="E229" s="68" t="n">
        <x:v>14</x:v>
      </x:c>
      <x:c r="F229" s="68" t="n">
        <x:v>38</x:v>
      </x:c>
      <x:c r="G229" s="68" t="n">
        <x:v>52</x:v>
      </x:c>
      <x:c r="H229" s="82" t="n">
        <x:v>649.36667</x:v>
      </x:c>
      <x:c r="I229" s="82" t="n">
        <x:v>172.220397</x:v>
      </x:c>
      <x:c r="J229" s="82" t="n">
        <x:v>236.070328</x:v>
      </x:c>
      <x:c r="K229" s="68" t="n">
        <x:f>E229-D229</x:f>
        <x:v>-9</x:v>
      </x:c>
      <x:c r="L229" s="68" t="n">
        <x:f>ABS(K229)</x:f>
        <x:v>9</x:v>
      </x:c>
    </x:row>
    <x:row r="230" ht="22" customHeight="1">
      <x:c r="A230" s="68" t="str">
        <x:v>DOWN</x:v>
      </x:c>
      <x:c r="B230" s="68" t="str">
        <x:v>2026-02-22</x:v>
      </x:c>
      <x:c r="C230" s="68" t="n">
        <x:v>12</x:v>
      </x:c>
      <x:c r="D230" s="68" t="n">
        <x:v>25</x:v>
      </x:c>
      <x:c r="E230" s="68" t="n">
        <x:v>20</x:v>
      </x:c>
      <x:c r="F230" s="68" t="n">
        <x:v>45</x:v>
      </x:c>
      <x:c r="G230" s="68" t="n">
        <x:v>65</x:v>
      </x:c>
      <x:c r="H230" s="82" t="n">
        <x:v>644.16667</x:v>
      </x:c>
      <x:c r="I230" s="82" t="n">
        <x:v>234.378479</x:v>
      </x:c>
      <x:c r="J230" s="82" t="n">
        <x:v>364.897413</x:v>
      </x:c>
      <x:c r="K230" s="68" t="n">
        <x:f>E230-D230</x:f>
        <x:v>-5</x:v>
      </x:c>
      <x:c r="L230" s="68" t="n">
        <x:f>ABS(K230)</x:f>
        <x:v>5</x:v>
      </x:c>
    </x:row>
    <x:row r="231" ht="22" customHeight="1">
      <x:c r="A231" s="68" t="str">
        <x:v>DOWN</x:v>
      </x:c>
      <x:c r="B231" s="68" t="str">
        <x:v>2026-02-22</x:v>
      </x:c>
      <x:c r="C231" s="68" t="n">
        <x:v>13</x:v>
      </x:c>
      <x:c r="D231" s="68" t="n">
        <x:v>24</x:v>
      </x:c>
      <x:c r="E231" s="68" t="n">
        <x:v>16</x:v>
      </x:c>
      <x:c r="F231" s="68" t="n">
        <x:v>47</x:v>
      </x:c>
      <x:c r="G231" s="68" t="n">
        <x:v>63</x:v>
      </x:c>
      <x:c r="H231" s="82" t="n">
        <x:v>694.53334</x:v>
      </x:c>
      <x:c r="I231" s="82" t="n">
        <x:v>267.999582</x:v>
      </x:c>
      <x:c r="J231" s="82" t="n">
        <x:v>383.028245</x:v>
      </x:c>
      <x:c r="K231" s="68" t="n">
        <x:f>E231-D231</x:f>
        <x:v>-8</x:v>
      </x:c>
      <x:c r="L231" s="68" t="n">
        <x:f>ABS(K231)</x:f>
        <x:v>8</x:v>
      </x:c>
    </x:row>
    <x:row r="232" ht="22" customHeight="1">
      <x:c r="A232" s="68" t="str">
        <x:v>DOWN</x:v>
      </x:c>
      <x:c r="B232" s="68" t="str">
        <x:v>2026-02-22</x:v>
      </x:c>
      <x:c r="C232" s="68" t="n">
        <x:v>14</x:v>
      </x:c>
      <x:c r="D232" s="68" t="n">
        <x:v>17</x:v>
      </x:c>
      <x:c r="E232" s="68" t="n">
        <x:v>25</x:v>
      </x:c>
      <x:c r="F232" s="68" t="n">
        <x:v>63</x:v>
      </x:c>
      <x:c r="G232" s="68" t="n">
        <x:v>88</x:v>
      </x:c>
      <x:c r="H232" s="82" t="n">
        <x:v>454.21666</x:v>
      </x:c>
      <x:c r="I232" s="82" t="n">
        <x:v>406.939361</x:v>
      </x:c>
      <x:c r="J232" s="82" t="n">
        <x:v>654.034751</x:v>
      </x:c>
      <x:c r="K232" s="68" t="n">
        <x:f>E232-D232</x:f>
        <x:v>8</x:v>
      </x:c>
      <x:c r="L232" s="68" t="n">
        <x:f>ABS(K232)</x:f>
        <x:v>8</x:v>
      </x:c>
    </x:row>
    <x:row r="233" ht="22" customHeight="1">
      <x:c r="A233" s="68" t="str">
        <x:v>DOWN</x:v>
      </x:c>
      <x:c r="B233" s="68" t="str">
        <x:v>2026-02-22</x:v>
      </x:c>
      <x:c r="C233" s="68" t="n">
        <x:v>15</x:v>
      </x:c>
      <x:c r="D233" s="68" t="n">
        <x:v>30</x:v>
      </x:c>
      <x:c r="E233" s="68" t="n">
        <x:v>20</x:v>
      </x:c>
      <x:c r="F233" s="68" t="n">
        <x:v>46</x:v>
      </x:c>
      <x:c r="G233" s="68" t="n">
        <x:v>66</x:v>
      </x:c>
      <x:c r="H233" s="82" t="n">
        <x:v>649.10001</x:v>
      </x:c>
      <x:c r="I233" s="82" t="n">
        <x:v>303.762761</x:v>
      </x:c>
      <x:c r="J233" s="82" t="n">
        <x:v>414.493994</x:v>
      </x:c>
      <x:c r="K233" s="68" t="n">
        <x:f>E233-D233</x:f>
        <x:v>-10</x:v>
      </x:c>
      <x:c r="L233" s="68" t="n">
        <x:f>ABS(K233)</x:f>
        <x:v>10</x:v>
      </x:c>
    </x:row>
    <x:row r="234" ht="22" customHeight="1">
      <x:c r="A234" s="68" t="str">
        <x:v>DOWN</x:v>
      </x:c>
      <x:c r="B234" s="68" t="str">
        <x:v>2026-02-22</x:v>
      </x:c>
      <x:c r="C234" s="68" t="n">
        <x:v>16</x:v>
      </x:c>
      <x:c r="D234" s="68" t="n">
        <x:v>23</x:v>
      </x:c>
      <x:c r="E234" s="68" t="n">
        <x:v>20</x:v>
      </x:c>
      <x:c r="F234" s="68" t="n">
        <x:v>42</x:v>
      </x:c>
      <x:c r="G234" s="68" t="n">
        <x:v>62</x:v>
      </x:c>
      <x:c r="H234" s="82" t="n">
        <x:v>538.69998</x:v>
      </x:c>
      <x:c r="I234" s="82" t="n">
        <x:v>341.161419</x:v>
      </x:c>
      <x:c r="J234" s="82" t="n">
        <x:v>487.699179</x:v>
      </x:c>
      <x:c r="K234" s="68" t="n">
        <x:f>E234-D234</x:f>
        <x:v>-3</x:v>
      </x:c>
      <x:c r="L234" s="68" t="n">
        <x:f>ABS(K234)</x:f>
        <x:v>3</x:v>
      </x:c>
    </x:row>
    <x:row r="235" ht="22" customHeight="1">
      <x:c r="A235" s="68" t="str">
        <x:v>DOWN</x:v>
      </x:c>
      <x:c r="B235" s="68" t="str">
        <x:v>2026-02-22</x:v>
      </x:c>
      <x:c r="C235" s="68" t="n">
        <x:v>17</x:v>
      </x:c>
      <x:c r="D235" s="68" t="n">
        <x:v>23</x:v>
      </x:c>
      <x:c r="E235" s="68" t="n">
        <x:v>30</x:v>
      </x:c>
      <x:c r="F235" s="68" t="n">
        <x:v>67</x:v>
      </x:c>
      <x:c r="G235" s="68" t="n">
        <x:v>97</x:v>
      </x:c>
      <x:c r="H235" s="82" t="n">
        <x:v>460.05</x:v>
      </x:c>
      <x:c r="I235" s="82" t="n">
        <x:v>449.389465</x:v>
      </x:c>
      <x:c r="J235" s="82" t="n">
        <x:v>787.771921</x:v>
      </x:c>
      <x:c r="K235" s="68" t="n">
        <x:f>E235-D235</x:f>
        <x:v>7</x:v>
      </x:c>
      <x:c r="L235" s="68" t="n">
        <x:f>ABS(K235)</x:f>
        <x:v>7</x:v>
      </x:c>
    </x:row>
    <x:row r="236" ht="22" customHeight="1">
      <x:c r="A236" s="68" t="str">
        <x:v>DOWN</x:v>
      </x:c>
      <x:c r="B236" s="68" t="str">
        <x:v>2026-02-22</x:v>
      </x:c>
      <x:c r="C236" s="68" t="n">
        <x:v>18</x:v>
      </x:c>
      <x:c r="D236" s="68" t="n">
        <x:v>21</x:v>
      </x:c>
      <x:c r="E236" s="68" t="n">
        <x:v>28</x:v>
      </x:c>
      <x:c r="F236" s="68" t="n">
        <x:v>56</x:v>
      </x:c>
      <x:c r="G236" s="68" t="n">
        <x:v>84</x:v>
      </x:c>
      <x:c r="H236" s="82" t="n">
        <x:v>602.44999</x:v>
      </x:c>
      <x:c r="I236" s="82" t="n">
        <x:v>356.130358</x:v>
      </x:c>
      <x:c r="J236" s="82" t="n">
        <x:v>546.404336</x:v>
      </x:c>
      <x:c r="K236" s="68" t="n">
        <x:f>E236-D236</x:f>
        <x:v>7</x:v>
      </x:c>
      <x:c r="L236" s="68" t="n">
        <x:f>ABS(K236)</x:f>
        <x:v>7</x:v>
      </x:c>
    </x:row>
    <x:row r="237" ht="22" customHeight="1">
      <x:c r="A237" s="68" t="str">
        <x:v>DOWN</x:v>
      </x:c>
      <x:c r="B237" s="68" t="str">
        <x:v>2026-02-22</x:v>
      </x:c>
      <x:c r="C237" s="68" t="n">
        <x:v>19</x:v>
      </x:c>
      <x:c r="D237" s="68" t="n">
        <x:v>22</x:v>
      </x:c>
      <x:c r="E237" s="68" t="n">
        <x:v>25</x:v>
      </x:c>
      <x:c r="F237" s="68" t="n">
        <x:v>43</x:v>
      </x:c>
      <x:c r="G237" s="68" t="n">
        <x:v>68</x:v>
      </x:c>
      <x:c r="H237" s="82" t="n">
        <x:v>543.08335</x:v>
      </x:c>
      <x:c r="I237" s="82" t="n">
        <x:v>475.762498</x:v>
      </x:c>
      <x:c r="J237" s="82" t="n">
        <x:v>462.198979</x:v>
      </x:c>
      <x:c r="K237" s="68" t="n">
        <x:f>E237-D237</x:f>
        <x:v>3</x:v>
      </x:c>
      <x:c r="L237" s="68" t="n">
        <x:f>ABS(K237)</x:f>
        <x:v>3</x:v>
      </x:c>
    </x:row>
    <x:row r="238" ht="22" customHeight="1">
      <x:c r="A238" s="68" t="str">
        <x:v>DOWN</x:v>
      </x:c>
      <x:c r="B238" s="68" t="str">
        <x:v>2026-02-22</x:v>
      </x:c>
      <x:c r="C238" s="68" t="n">
        <x:v>20</x:v>
      </x:c>
      <x:c r="D238" s="68" t="n">
        <x:v>11</x:v>
      </x:c>
      <x:c r="E238" s="68" t="n">
        <x:v>19</x:v>
      </x:c>
      <x:c r="F238" s="68" t="n">
        <x:v>39</x:v>
      </x:c>
      <x:c r="G238" s="68" t="n">
        <x:v>58</x:v>
      </x:c>
      <x:c r="H238" s="82" t="n">
        <x:v>283.41666</x:v>
      </x:c>
      <x:c r="I238" s="82" t="n">
        <x:v>247.937078</x:v>
      </x:c>
      <x:c r="J238" s="82" t="n">
        <x:v>359.678592</x:v>
      </x:c>
      <x:c r="K238" s="68" t="n">
        <x:f>E238-D238</x:f>
        <x:v>8</x:v>
      </x:c>
      <x:c r="L238" s="68" t="n">
        <x:f>ABS(K238)</x:f>
        <x:v>8</x:v>
      </x:c>
    </x:row>
    <x:row r="239" ht="22" customHeight="1">
      <x:c r="A239" s="68" t="str">
        <x:v>DOWN</x:v>
      </x:c>
      <x:c r="B239" s="68" t="str">
        <x:v>2026-02-22</x:v>
      </x:c>
      <x:c r="C239" s="68" t="n">
        <x:v>21</x:v>
      </x:c>
      <x:c r="D239" s="68" t="n">
        <x:v>10</x:v>
      </x:c>
      <x:c r="E239" s="68" t="n">
        <x:v>12</x:v>
      </x:c>
      <x:c r="F239" s="68" t="n">
        <x:v>43</x:v>
      </x:c>
      <x:c r="G239" s="68" t="n">
        <x:v>55</x:v>
      </x:c>
      <x:c r="H239" s="82" t="n">
        <x:v>335.31667</x:v>
      </x:c>
      <x:c r="I239" s="82" t="n">
        <x:v>179.90533</x:v>
      </x:c>
      <x:c r="J239" s="82" t="n">
        <x:v>390.14325</x:v>
      </x:c>
      <x:c r="K239" s="68" t="n">
        <x:f>E239-D239</x:f>
        <x:v>2</x:v>
      </x:c>
      <x:c r="L239" s="68" t="n">
        <x:f>ABS(K239)</x:f>
        <x:v>2</x:v>
      </x:c>
    </x:row>
    <x:row r="240" ht="22" customHeight="1">
      <x:c r="A240" s="68" t="str">
        <x:v>DOWN</x:v>
      </x:c>
      <x:c r="B240" s="68" t="str">
        <x:v>2026-02-22</x:v>
      </x:c>
      <x:c r="C240" s="68" t="n">
        <x:v>22</x:v>
      </x:c>
      <x:c r="D240" s="68" t="n">
        <x:v>12</x:v>
      </x:c>
      <x:c r="E240" s="68" t="n">
        <x:v>17</x:v>
      </x:c>
      <x:c r="F240" s="68" t="n">
        <x:v>34</x:v>
      </x:c>
      <x:c r="G240" s="68" t="n">
        <x:v>51</x:v>
      </x:c>
      <x:c r="H240" s="82" t="n">
        <x:v>267.31667</x:v>
      </x:c>
      <x:c r="I240" s="82" t="n">
        <x:v>201.573164</x:v>
      </x:c>
      <x:c r="J240" s="82" t="n">
        <x:v>229.684462</x:v>
      </x:c>
      <x:c r="K240" s="68" t="n">
        <x:f>E240-D240</x:f>
        <x:v>5</x:v>
      </x:c>
      <x:c r="L240" s="68" t="n">
        <x:f>ABS(K240)</x:f>
        <x:v>5</x:v>
      </x:c>
    </x:row>
    <x:row r="241" ht="22" customHeight="1">
      <x:c r="A241" s="68" t="str">
        <x:v>DOWN</x:v>
      </x:c>
      <x:c r="B241" s="68" t="str">
        <x:v>2026-02-22</x:v>
      </x:c>
      <x:c r="C241" s="68" t="n">
        <x:v>23</x:v>
      </x:c>
      <x:c r="D241" s="68" t="n">
        <x:v>10</x:v>
      </x:c>
      <x:c r="E241" s="68" t="n">
        <x:v>7</x:v>
      </x:c>
      <x:c r="F241" s="68" t="n">
        <x:v>13</x:v>
      </x:c>
      <x:c r="G241" s="68" t="n">
        <x:v>20</x:v>
      </x:c>
      <x:c r="H241" s="82" t="n">
        <x:v>268.36667</x:v>
      </x:c>
      <x:c r="I241" s="82" t="n">
        <x:v>113.42605</x:v>
      </x:c>
      <x:c r="J241" s="82" t="n">
        <x:v>127.359728</x:v>
      </x:c>
      <x:c r="K241" s="68" t="n">
        <x:f>E241-D241</x:f>
        <x:v>-3</x:v>
      </x:c>
      <x:c r="L241" s="68" t="n">
        <x:f>ABS(K241)</x:f>
        <x:v>3</x:v>
      </x:c>
    </x:row>
    <x:row r="242" ht="22" customHeight="1">
      <x:c r="A242" s="68" t="str">
        <x:v>UP</x:v>
      </x:c>
      <x:c r="B242" s="68" t="str">
        <x:v>2026-02-13</x:v>
      </x:c>
      <x:c r="C242" s="68" t="n">
        <x:v>0</x:v>
      </x:c>
      <x:c r="D242" s="68" t="n">
        <x:v>7</x:v>
      </x:c>
      <x:c r="E242" s="68" t="n">
        <x:v>4</x:v>
      </x:c>
      <x:c r="F242" s="68" t="n">
        <x:v>4</x:v>
      </x:c>
      <x:c r="G242" s="68" t="n">
        <x:v>8</x:v>
      </x:c>
      <x:c r="H242" s="82" t="n">
        <x:v>101.43334</x:v>
      </x:c>
      <x:c r="I242" s="82" t="n">
        <x:v>30.636204</x:v>
      </x:c>
      <x:c r="J242" s="82" t="n">
        <x:v>17.786218</x:v>
      </x:c>
      <x:c r="K242" s="68" t="n">
        <x:f>E242-D242</x:f>
        <x:v>-3</x:v>
      </x:c>
      <x:c r="L242" s="68" t="n">
        <x:f>ABS(K242)</x:f>
        <x:v>3</x:v>
      </x:c>
    </x:row>
    <x:row r="243" ht="22" customHeight="1">
      <x:c r="A243" s="68" t="str">
        <x:v>UP</x:v>
      </x:c>
      <x:c r="B243" s="68" t="str">
        <x:v>2026-02-13</x:v>
      </x:c>
      <x:c r="C243" s="68" t="n">
        <x:v>1</x:v>
      </x:c>
      <x:c r="D243" s="68" t="n">
        <x:v>10</x:v>
      </x:c>
      <x:c r="E243" s="68" t="n">
        <x:v>2</x:v>
      </x:c>
      <x:c r="F243" s="68" t="n">
        <x:v>11</x:v>
      </x:c>
      <x:c r="G243" s="68" t="n">
        <x:v>13</x:v>
      </x:c>
      <x:c r="H243" s="82" t="n">
        <x:v>285.81667</x:v>
      </x:c>
      <x:c r="I243" s="82" t="n">
        <x:v>36.010838</x:v>
      </x:c>
      <x:c r="J243" s="82" t="n">
        <x:v>36.959331</x:v>
      </x:c>
      <x:c r="K243" s="68" t="n">
        <x:f>E243-D243</x:f>
        <x:v>-8</x:v>
      </x:c>
      <x:c r="L243" s="68" t="n">
        <x:f>ABS(K243)</x:f>
        <x:v>8</x:v>
      </x:c>
    </x:row>
    <x:row r="244" ht="22" customHeight="1">
      <x:c r="A244" s="68" t="str">
        <x:v>UP</x:v>
      </x:c>
      <x:c r="B244" s="68" t="str">
        <x:v>2026-02-13</x:v>
      </x:c>
      <x:c r="C244" s="68" t="n">
        <x:v>2</x:v>
      </x:c>
      <x:c r="D244" s="68" t="n">
        <x:v>9</x:v>
      </x:c>
      <x:c r="E244" s="68" t="n">
        <x:v>11</x:v>
      </x:c>
      <x:c r="F244" s="68" t="n">
        <x:v>10</x:v>
      </x:c>
      <x:c r="G244" s="68" t="n">
        <x:v>21</x:v>
      </x:c>
      <x:c r="H244" s="82" t="n">
        <x:v>235.84999</x:v>
      </x:c>
      <x:c r="I244" s="82" t="n">
        <x:v>131.260523</x:v>
      </x:c>
      <x:c r="J244" s="82" t="n">
        <x:v>88.390447</x:v>
      </x:c>
      <x:c r="K244" s="68" t="n">
        <x:f>E244-D244</x:f>
        <x:v>2</x:v>
      </x:c>
      <x:c r="L244" s="68" t="n">
        <x:f>ABS(K244)</x:f>
        <x:v>2</x:v>
      </x:c>
    </x:row>
    <x:row r="245" ht="22" customHeight="1">
      <x:c r="A245" s="68" t="str">
        <x:v>UP</x:v>
      </x:c>
      <x:c r="B245" s="68" t="str">
        <x:v>2026-02-13</x:v>
      </x:c>
      <x:c r="C245" s="68" t="n">
        <x:v>3</x:v>
      </x:c>
      <x:c r="D245" s="68" t="n">
        <x:v>7</x:v>
      </x:c>
      <x:c r="E245" s="68" t="n">
        <x:v>6</x:v>
      </x:c>
      <x:c r="F245" s="68" t="n">
        <x:v>9</x:v>
      </x:c>
      <x:c r="G245" s="68" t="n">
        <x:v>15</x:v>
      </x:c>
      <x:c r="H245" s="82" t="n">
        <x:v>186.43334</x:v>
      </x:c>
      <x:c r="I245" s="82" t="n">
        <x:v>144.639189</x:v>
      </x:c>
      <x:c r="J245" s="82" t="n">
        <x:v>94.903019</x:v>
      </x:c>
      <x:c r="K245" s="68" t="n">
        <x:f>E245-D245</x:f>
        <x:v>-1</x:v>
      </x:c>
      <x:c r="L245" s="68" t="n">
        <x:f>ABS(K245)</x:f>
        <x:v>1</x:v>
      </x:c>
    </x:row>
    <x:row r="246" ht="22" customHeight="1">
      <x:c r="A246" s="68" t="str">
        <x:v>UP</x:v>
      </x:c>
      <x:c r="B246" s="68" t="str">
        <x:v>2026-02-13</x:v>
      </x:c>
      <x:c r="C246" s="68" t="n">
        <x:v>4</x:v>
      </x:c>
      <x:c r="D246" s="68" t="n">
        <x:v>4</x:v>
      </x:c>
      <x:c r="E246" s="68" t="n">
        <x:v>6</x:v>
      </x:c>
      <x:c r="F246" s="68" t="n">
        <x:v>6</x:v>
      </x:c>
      <x:c r="G246" s="68" t="n">
        <x:v>12</x:v>
      </x:c>
      <x:c r="H246" s="82" t="n">
        <x:v>120.46667</x:v>
      </x:c>
      <x:c r="I246" s="82" t="n">
        <x:v>38.690471</x:v>
      </x:c>
      <x:c r="J246" s="82" t="n">
        <x:v>40.010645</x:v>
      </x:c>
      <x:c r="K246" s="68" t="n">
        <x:f>E246-D246</x:f>
        <x:v>2</x:v>
      </x:c>
      <x:c r="L246" s="68" t="n">
        <x:f>ABS(K246)</x:f>
        <x:v>2</x:v>
      </x:c>
    </x:row>
    <x:row r="247" ht="22" customHeight="1">
      <x:c r="A247" s="68" t="str">
        <x:v>UP</x:v>
      </x:c>
      <x:c r="B247" s="68" t="str">
        <x:v>2026-02-13</x:v>
      </x:c>
      <x:c r="C247" s="68" t="n">
        <x:v>5</x:v>
      </x:c>
      <x:c r="D247" s="68" t="n">
        <x:v>12</x:v>
      </x:c>
      <x:c r="E247" s="68" t="n">
        <x:v>10</x:v>
      </x:c>
      <x:c r="F247" s="68" t="n">
        <x:v>15</x:v>
      </x:c>
      <x:c r="G247" s="68" t="n">
        <x:v>25</x:v>
      </x:c>
      <x:c r="H247" s="82" t="n">
        <x:v>171</x:v>
      </x:c>
      <x:c r="I247" s="82" t="n">
        <x:v>110.186582</x:v>
      </x:c>
      <x:c r="J247" s="82" t="n">
        <x:v>84.274839</x:v>
      </x:c>
      <x:c r="K247" s="68" t="n">
        <x:f>E247-D247</x:f>
        <x:v>-2</x:v>
      </x:c>
      <x:c r="L247" s="68" t="n">
        <x:f>ABS(K247)</x:f>
        <x:v>2</x:v>
      </x:c>
    </x:row>
    <x:row r="248" ht="22" customHeight="1">
      <x:c r="A248" s="68" t="str">
        <x:v>UP</x:v>
      </x:c>
      <x:c r="B248" s="68" t="str">
        <x:v>2026-02-13</x:v>
      </x:c>
      <x:c r="C248" s="68" t="n">
        <x:v>6</x:v>
      </x:c>
      <x:c r="D248" s="68" t="n">
        <x:v>12</x:v>
      </x:c>
      <x:c r="E248" s="68" t="n">
        <x:v>14</x:v>
      </x:c>
      <x:c r="F248" s="68" t="n">
        <x:v>21</x:v>
      </x:c>
      <x:c r="G248" s="68" t="n">
        <x:v>35</x:v>
      </x:c>
      <x:c r="H248" s="82" t="n">
        <x:v>455.91667</x:v>
      </x:c>
      <x:c r="I248" s="82" t="n">
        <x:v>184.694316</x:v>
      </x:c>
      <x:c r="J248" s="82" t="n">
        <x:v>137.748919</x:v>
      </x:c>
      <x:c r="K248" s="68" t="n">
        <x:f>E248-D248</x:f>
        <x:v>2</x:v>
      </x:c>
      <x:c r="L248" s="68" t="n">
        <x:f>ABS(K248)</x:f>
        <x:v>2</x:v>
      </x:c>
    </x:row>
    <x:row r="249" ht="22" customHeight="1">
      <x:c r="A249" s="68" t="str">
        <x:v>UP</x:v>
      </x:c>
      <x:c r="B249" s="68" t="str">
        <x:v>2026-02-13</x:v>
      </x:c>
      <x:c r="C249" s="68" t="n">
        <x:v>7</x:v>
      </x:c>
      <x:c r="D249" s="68" t="n">
        <x:v>18</x:v>
      </x:c>
      <x:c r="E249" s="68" t="n">
        <x:v>11</x:v>
      </x:c>
      <x:c r="F249" s="68" t="n">
        <x:v>29</x:v>
      </x:c>
      <x:c r="G249" s="68" t="n">
        <x:v>40</x:v>
      </x:c>
      <x:c r="H249" s="82" t="n">
        <x:v>551.9</x:v>
      </x:c>
      <x:c r="I249" s="82" t="n">
        <x:v>143.341813</x:v>
      </x:c>
      <x:c r="J249" s="82" t="n">
        <x:v>170.918313</x:v>
      </x:c>
      <x:c r="K249" s="68" t="n">
        <x:f>E249-D249</x:f>
        <x:v>-7</x:v>
      </x:c>
      <x:c r="L249" s="68" t="n">
        <x:f>ABS(K249)</x:f>
        <x:v>7</x:v>
      </x:c>
    </x:row>
    <x:row r="250" ht="22" customHeight="1">
      <x:c r="A250" s="68" t="str">
        <x:v>UP</x:v>
      </x:c>
      <x:c r="B250" s="68" t="str">
        <x:v>2026-02-13</x:v>
      </x:c>
      <x:c r="C250" s="68" t="n">
        <x:v>8</x:v>
      </x:c>
      <x:c r="D250" s="68" t="n">
        <x:v>17</x:v>
      </x:c>
      <x:c r="E250" s="68" t="n">
        <x:v>12</x:v>
      </x:c>
      <x:c r="F250" s="68" t="n">
        <x:v>30</x:v>
      </x:c>
      <x:c r="G250" s="68" t="n">
        <x:v>42</x:v>
      </x:c>
      <x:c r="H250" s="82" t="n">
        <x:v>451.65</x:v>
      </x:c>
      <x:c r="I250" s="82" t="n">
        <x:v>87.219763</x:v>
      </x:c>
      <x:c r="J250" s="82" t="n">
        <x:v>158.589479</x:v>
      </x:c>
      <x:c r="K250" s="68" t="n">
        <x:f>E250-D250</x:f>
        <x:v>-5</x:v>
      </x:c>
      <x:c r="L250" s="68" t="n">
        <x:f>ABS(K250)</x:f>
        <x:v>5</x:v>
      </x:c>
    </x:row>
    <x:row r="251" ht="22" customHeight="1">
      <x:c r="A251" s="68" t="str">
        <x:v>UP</x:v>
      </x:c>
      <x:c r="B251" s="68" t="str">
        <x:v>2026-02-13</x:v>
      </x:c>
      <x:c r="C251" s="68" t="n">
        <x:v>9</x:v>
      </x:c>
      <x:c r="D251" s="68" t="n">
        <x:v>22</x:v>
      </x:c>
      <x:c r="E251" s="68" t="n">
        <x:v>19</x:v>
      </x:c>
      <x:c r="F251" s="68" t="n">
        <x:v>36</x:v>
      </x:c>
      <x:c r="G251" s="68" t="n">
        <x:v>55</x:v>
      </x:c>
      <x:c r="H251" s="82" t="n">
        <x:v>645.64999</x:v>
      </x:c>
      <x:c r="I251" s="82" t="n">
        <x:v>165.837037</x:v>
      </x:c>
      <x:c r="J251" s="82" t="n">
        <x:v>188.077649</x:v>
      </x:c>
      <x:c r="K251" s="68" t="n">
        <x:f>E251-D251</x:f>
        <x:v>-3</x:v>
      </x:c>
      <x:c r="L251" s="68" t="n">
        <x:f>ABS(K251)</x:f>
        <x:v>3</x:v>
      </x:c>
    </x:row>
    <x:row r="252" ht="22" customHeight="1">
      <x:c r="A252" s="68" t="str">
        <x:v>UP</x:v>
      </x:c>
      <x:c r="B252" s="68" t="str">
        <x:v>2026-02-13</x:v>
      </x:c>
      <x:c r="C252" s="68" t="n">
        <x:v>10</x:v>
      </x:c>
      <x:c r="D252" s="68" t="n">
        <x:v>34</x:v>
      </x:c>
      <x:c r="E252" s="68" t="n">
        <x:v>15</x:v>
      </x:c>
      <x:c r="F252" s="68" t="n">
        <x:v>35</x:v>
      </x:c>
      <x:c r="G252" s="68" t="n">
        <x:v>50</x:v>
      </x:c>
      <x:c r="H252" s="82" t="n">
        <x:v>904.56667</x:v>
      </x:c>
      <x:c r="I252" s="82" t="n">
        <x:v>179.755914</x:v>
      </x:c>
      <x:c r="J252" s="82" t="n">
        <x:v>158.679002</x:v>
      </x:c>
      <x:c r="K252" s="68" t="n">
        <x:f>E252-D252</x:f>
        <x:v>-19</x:v>
      </x:c>
      <x:c r="L252" s="68" t="n">
        <x:f>ABS(K252)</x:f>
        <x:v>19</x:v>
      </x:c>
    </x:row>
    <x:row r="253" ht="22" customHeight="1">
      <x:c r="A253" s="68" t="str">
        <x:v>UP</x:v>
      </x:c>
      <x:c r="B253" s="68" t="str">
        <x:v>2026-02-13</x:v>
      </x:c>
      <x:c r="C253" s="68" t="n">
        <x:v>11</x:v>
      </x:c>
      <x:c r="D253" s="68" t="n">
        <x:v>52</x:v>
      </x:c>
      <x:c r="E253" s="68" t="n">
        <x:v>20</x:v>
      </x:c>
      <x:c r="F253" s="68" t="n">
        <x:v>48</x:v>
      </x:c>
      <x:c r="G253" s="68" t="n">
        <x:v>68</x:v>
      </x:c>
      <x:c r="H253" s="82" t="n">
        <x:v>1242.41667</x:v>
      </x:c>
      <x:c r="I253" s="82" t="n">
        <x:v>206.010005</x:v>
      </x:c>
      <x:c r="J253" s="82" t="n">
        <x:v>308.796038</x:v>
      </x:c>
      <x:c r="K253" s="68" t="n">
        <x:f>E253-D253</x:f>
        <x:v>-32</x:v>
      </x:c>
      <x:c r="L253" s="68" t="n">
        <x:f>ABS(K253)</x:f>
        <x:v>32</x:v>
      </x:c>
    </x:row>
    <x:row r="254" ht="22" customHeight="1">
      <x:c r="A254" s="68" t="str">
        <x:v>UP</x:v>
      </x:c>
      <x:c r="B254" s="68" t="str">
        <x:v>2026-02-13</x:v>
      </x:c>
      <x:c r="C254" s="68" t="n">
        <x:v>12</x:v>
      </x:c>
      <x:c r="D254" s="68" t="n">
        <x:v>51</x:v>
      </x:c>
      <x:c r="E254" s="68" t="n">
        <x:v>18</x:v>
      </x:c>
      <x:c r="F254" s="68" t="n">
        <x:v>31</x:v>
      </x:c>
      <x:c r="G254" s="68" t="n">
        <x:v>49</x:v>
      </x:c>
      <x:c r="H254" s="82" t="n">
        <x:v>1502.61669</x:v>
      </x:c>
      <x:c r="I254" s="82" t="n">
        <x:v>237.322297</x:v>
      </x:c>
      <x:c r="J254" s="82" t="n">
        <x:v>125.663896</x:v>
      </x:c>
      <x:c r="K254" s="68" t="n">
        <x:f>E254-D254</x:f>
        <x:v>-33</x:v>
      </x:c>
      <x:c r="L254" s="68" t="n">
        <x:f>ABS(K254)</x:f>
        <x:v>33</x:v>
      </x:c>
    </x:row>
    <x:row r="255" ht="22" customHeight="1">
      <x:c r="A255" s="68" t="str">
        <x:v>UP</x:v>
      </x:c>
      <x:c r="B255" s="68" t="str">
        <x:v>2026-02-13</x:v>
      </x:c>
      <x:c r="C255" s="68" t="n">
        <x:v>13</x:v>
      </x:c>
      <x:c r="D255" s="68" t="n">
        <x:v>41</x:v>
      </x:c>
      <x:c r="E255" s="68" t="n">
        <x:v>27</x:v>
      </x:c>
      <x:c r="F255" s="68" t="n">
        <x:v>39</x:v>
      </x:c>
      <x:c r="G255" s="68" t="n">
        <x:v>66</x:v>
      </x:c>
      <x:c r="H255" s="82" t="n">
        <x:v>1267.61667</x:v>
      </x:c>
      <x:c r="I255" s="82" t="n">
        <x:v>281.091981</x:v>
      </x:c>
      <x:c r="J255" s="82" t="n">
        <x:v>358.589817</x:v>
      </x:c>
      <x:c r="K255" s="68" t="n">
        <x:f>E255-D255</x:f>
        <x:v>-14</x:v>
      </x:c>
      <x:c r="L255" s="68" t="n">
        <x:f>ABS(K255)</x:f>
        <x:v>14</x:v>
      </x:c>
    </x:row>
    <x:row r="256" ht="22" customHeight="1">
      <x:c r="A256" s="68" t="str">
        <x:v>UP</x:v>
      </x:c>
      <x:c r="B256" s="68" t="str">
        <x:v>2026-02-13</x:v>
      </x:c>
      <x:c r="C256" s="68" t="n">
        <x:v>14</x:v>
      </x:c>
      <x:c r="D256" s="68" t="n">
        <x:v>39</x:v>
      </x:c>
      <x:c r="E256" s="68" t="n">
        <x:v>15</x:v>
      </x:c>
      <x:c r="F256" s="68" t="n">
        <x:v>46</x:v>
      </x:c>
      <x:c r="G256" s="68" t="n">
        <x:v>61</x:v>
      </x:c>
      <x:c r="H256" s="82" t="n">
        <x:v>974.79999</x:v>
      </x:c>
      <x:c r="I256" s="82" t="n">
        <x:v>142.166778</x:v>
      </x:c>
      <x:c r="J256" s="82" t="n">
        <x:v>251.82953</x:v>
      </x:c>
      <x:c r="K256" s="68" t="n">
        <x:f>E256-D256</x:f>
        <x:v>-24</x:v>
      </x:c>
      <x:c r="L256" s="68" t="n">
        <x:f>ABS(K256)</x:f>
        <x:v>24</x:v>
      </x:c>
    </x:row>
    <x:row r="257" ht="22" customHeight="1">
      <x:c r="A257" s="68" t="str">
        <x:v>UP</x:v>
      </x:c>
      <x:c r="B257" s="68" t="str">
        <x:v>2026-02-13</x:v>
      </x:c>
      <x:c r="C257" s="68" t="n">
        <x:v>15</x:v>
      </x:c>
      <x:c r="D257" s="68" t="n">
        <x:v>46</x:v>
      </x:c>
      <x:c r="E257" s="68" t="n">
        <x:v>26</x:v>
      </x:c>
      <x:c r="F257" s="68" t="n">
        <x:v>50</x:v>
      </x:c>
      <x:c r="G257" s="68" t="n">
        <x:v>76</x:v>
      </x:c>
      <x:c r="H257" s="82" t="n">
        <x:v>1162.11667</x:v>
      </x:c>
      <x:c r="I257" s="82" t="n">
        <x:v>236.26491</x:v>
      </x:c>
      <x:c r="J257" s="82" t="n">
        <x:v>320.234881</x:v>
      </x:c>
      <x:c r="K257" s="68" t="n">
        <x:f>E257-D257</x:f>
        <x:v>-20</x:v>
      </x:c>
      <x:c r="L257" s="68" t="n">
        <x:f>ABS(K257)</x:f>
        <x:v>20</x:v>
      </x:c>
    </x:row>
    <x:row r="258" ht="22" customHeight="1">
      <x:c r="A258" s="68" t="str">
        <x:v>UP</x:v>
      </x:c>
      <x:c r="B258" s="68" t="str">
        <x:v>2026-02-13</x:v>
      </x:c>
      <x:c r="C258" s="68" t="n">
        <x:v>16</x:v>
      </x:c>
      <x:c r="D258" s="68" t="n">
        <x:v>46</x:v>
      </x:c>
      <x:c r="E258" s="68" t="n">
        <x:v>22</x:v>
      </x:c>
      <x:c r="F258" s="68" t="n">
        <x:v>45</x:v>
      </x:c>
      <x:c r="G258" s="68" t="n">
        <x:v>67</x:v>
      </x:c>
      <x:c r="H258" s="82" t="n">
        <x:v>1261.23332</x:v>
      </x:c>
      <x:c r="I258" s="82" t="n">
        <x:v>303.853124</x:v>
      </x:c>
      <x:c r="J258" s="82" t="n">
        <x:v>309.64925</x:v>
      </x:c>
      <x:c r="K258" s="68" t="n">
        <x:f>E258-D258</x:f>
        <x:v>-24</x:v>
      </x:c>
      <x:c r="L258" s="68" t="n">
        <x:f>ABS(K258)</x:f>
        <x:v>24</x:v>
      </x:c>
    </x:row>
    <x:row r="259" ht="22" customHeight="1">
      <x:c r="A259" s="68" t="str">
        <x:v>UP</x:v>
      </x:c>
      <x:c r="B259" s="68" t="str">
        <x:v>2026-02-13</x:v>
      </x:c>
      <x:c r="C259" s="68" t="n">
        <x:v>17</x:v>
      </x:c>
      <x:c r="D259" s="68" t="n">
        <x:v>43</x:v>
      </x:c>
      <x:c r="E259" s="68" t="n">
        <x:v>37</x:v>
      </x:c>
      <x:c r="F259" s="68" t="n">
        <x:v>49</x:v>
      </x:c>
      <x:c r="G259" s="68" t="n">
        <x:v>86</x:v>
      </x:c>
      <x:c r="H259" s="82" t="n">
        <x:v>1241.03332</x:v>
      </x:c>
      <x:c r="I259" s="82" t="n">
        <x:v>407.212394</x:v>
      </x:c>
      <x:c r="J259" s="82" t="n">
        <x:v>352.927384</x:v>
      </x:c>
      <x:c r="K259" s="68" t="n">
        <x:f>E259-D259</x:f>
        <x:v>-6</x:v>
      </x:c>
      <x:c r="L259" s="68" t="n">
        <x:f>ABS(K259)</x:f>
        <x:v>6</x:v>
      </x:c>
    </x:row>
    <x:row r="260" ht="22" customHeight="1">
      <x:c r="A260" s="68" t="str">
        <x:v>UP</x:v>
      </x:c>
      <x:c r="B260" s="68" t="str">
        <x:v>2026-02-13</x:v>
      </x:c>
      <x:c r="C260" s="68" t="n">
        <x:v>18</x:v>
      </x:c>
      <x:c r="D260" s="68" t="n">
        <x:v>41</x:v>
      </x:c>
      <x:c r="E260" s="68" t="n">
        <x:v>31</x:v>
      </x:c>
      <x:c r="F260" s="68" t="n">
        <x:v>51</x:v>
      </x:c>
      <x:c r="G260" s="68" t="n">
        <x:v>82</x:v>
      </x:c>
      <x:c r="H260" s="82" t="n">
        <x:v>1039.03333</x:v>
      </x:c>
      <x:c r="I260" s="82" t="n">
        <x:v>331.016888</x:v>
      </x:c>
      <x:c r="J260" s="82" t="n">
        <x:v>295.0591</x:v>
      </x:c>
      <x:c r="K260" s="68" t="n">
        <x:f>E260-D260</x:f>
        <x:v>-10</x:v>
      </x:c>
      <x:c r="L260" s="68" t="n">
        <x:f>ABS(K260)</x:f>
        <x:v>10</x:v>
      </x:c>
    </x:row>
    <x:row r="261" ht="22" customHeight="1">
      <x:c r="A261" s="68" t="str">
        <x:v>UP</x:v>
      </x:c>
      <x:c r="B261" s="68" t="str">
        <x:v>2026-02-13</x:v>
      </x:c>
      <x:c r="C261" s="68" t="n">
        <x:v>19</x:v>
      </x:c>
      <x:c r="D261" s="68" t="n">
        <x:v>33</x:v>
      </x:c>
      <x:c r="E261" s="68" t="n">
        <x:v>26</x:v>
      </x:c>
      <x:c r="F261" s="68" t="n">
        <x:v>38</x:v>
      </x:c>
      <x:c r="G261" s="68" t="n">
        <x:v>64</x:v>
      </x:c>
      <x:c r="H261" s="82" t="n">
        <x:v>915.6</x:v>
      </x:c>
      <x:c r="I261" s="82" t="n">
        <x:v>361.982052</x:v>
      </x:c>
      <x:c r="J261" s="82" t="n">
        <x:v>187.13087</x:v>
      </x:c>
      <x:c r="K261" s="68" t="n">
        <x:f>E261-D261</x:f>
        <x:v>-7</x:v>
      </x:c>
      <x:c r="L261" s="68" t="n">
        <x:f>ABS(K261)</x:f>
        <x:v>7</x:v>
      </x:c>
    </x:row>
    <x:row r="262" ht="22" customHeight="1">
      <x:c r="A262" s="68" t="str">
        <x:v>UP</x:v>
      </x:c>
      <x:c r="B262" s="68" t="str">
        <x:v>2026-02-13</x:v>
      </x:c>
      <x:c r="C262" s="68" t="n">
        <x:v>20</x:v>
      </x:c>
      <x:c r="D262" s="68" t="n">
        <x:v>28</x:v>
      </x:c>
      <x:c r="E262" s="68" t="n">
        <x:v>24</x:v>
      </x:c>
      <x:c r="F262" s="68" t="n">
        <x:v>36</x:v>
      </x:c>
      <x:c r="G262" s="68" t="n">
        <x:v>60</x:v>
      </x:c>
      <x:c r="H262" s="82" t="n">
        <x:v>789.98335</x:v>
      </x:c>
      <x:c r="I262" s="82" t="n">
        <x:v>307.06418</x:v>
      </x:c>
      <x:c r="J262" s="82" t="n">
        <x:v>264.274765</x:v>
      </x:c>
      <x:c r="K262" s="68" t="n">
        <x:f>E262-D262</x:f>
        <x:v>-4</x:v>
      </x:c>
      <x:c r="L262" s="68" t="n">
        <x:f>ABS(K262)</x:f>
        <x:v>4</x:v>
      </x:c>
    </x:row>
    <x:row r="263" ht="22" customHeight="1">
      <x:c r="A263" s="68" t="str">
        <x:v>UP</x:v>
      </x:c>
      <x:c r="B263" s="68" t="str">
        <x:v>2026-02-13</x:v>
      </x:c>
      <x:c r="C263" s="68" t="n">
        <x:v>21</x:v>
      </x:c>
      <x:c r="D263" s="68" t="n">
        <x:v>22</x:v>
      </x:c>
      <x:c r="E263" s="68" t="n">
        <x:v>11</x:v>
      </x:c>
      <x:c r="F263" s="68" t="n">
        <x:v>42</x:v>
      </x:c>
      <x:c r="G263" s="68" t="n">
        <x:v>53</x:v>
      </x:c>
      <x:c r="H263" s="82" t="n">
        <x:v>507.58332</x:v>
      </x:c>
      <x:c r="I263" s="82" t="n">
        <x:v>175.919794</x:v>
      </x:c>
      <x:c r="J263" s="82" t="n">
        <x:v>246.562482</x:v>
      </x:c>
      <x:c r="K263" s="68" t="n">
        <x:f>E263-D263</x:f>
        <x:v>-11</x:v>
      </x:c>
      <x:c r="L263" s="68" t="n">
        <x:f>ABS(K263)</x:f>
        <x:v>11</x:v>
      </x:c>
    </x:row>
    <x:row r="264" ht="22" customHeight="1">
      <x:c r="A264" s="68" t="str">
        <x:v>UP</x:v>
      </x:c>
      <x:c r="B264" s="68" t="str">
        <x:v>2026-02-13</x:v>
      </x:c>
      <x:c r="C264" s="68" t="n">
        <x:v>22</x:v>
      </x:c>
      <x:c r="D264" s="68" t="n">
        <x:v>22</x:v>
      </x:c>
      <x:c r="E264" s="68" t="n">
        <x:v>25</x:v>
      </x:c>
      <x:c r="F264" s="68" t="n">
        <x:v>34</x:v>
      </x:c>
      <x:c r="G264" s="68" t="n">
        <x:v>59</x:v>
      </x:c>
      <x:c r="H264" s="82" t="n">
        <x:v>558.89999</x:v>
      </x:c>
      <x:c r="I264" s="82" t="n">
        <x:v>327.39432</x:v>
      </x:c>
      <x:c r="J264" s="82" t="n">
        <x:v>231.459691</x:v>
      </x:c>
      <x:c r="K264" s="68" t="n">
        <x:f>E264-D264</x:f>
        <x:v>3</x:v>
      </x:c>
      <x:c r="L264" s="68" t="n">
        <x:f>ABS(K264)</x:f>
        <x:v>3</x:v>
      </x:c>
    </x:row>
    <x:row r="265" ht="22" customHeight="1">
      <x:c r="A265" s="68" t="str">
        <x:v>UP</x:v>
      </x:c>
      <x:c r="B265" s="68" t="str">
        <x:v>2026-02-13</x:v>
      </x:c>
      <x:c r="C265" s="68" t="n">
        <x:v>23</x:v>
      </x:c>
      <x:c r="D265" s="68" t="n">
        <x:v>18</x:v>
      </x:c>
      <x:c r="E265" s="68" t="n">
        <x:v>8</x:v>
      </x:c>
      <x:c r="F265" s="68" t="n">
        <x:v>24</x:v>
      </x:c>
      <x:c r="G265" s="68" t="n">
        <x:v>32</x:v>
      </x:c>
      <x:c r="H265" s="82" t="n">
        <x:v>437.70001</x:v>
      </x:c>
      <x:c r="I265" s="82" t="n">
        <x:v>115.680249</x:v>
      </x:c>
      <x:c r="J265" s="82" t="n">
        <x:v>179.322041</x:v>
      </x:c>
      <x:c r="K265" s="68" t="n">
        <x:f>E265-D265</x:f>
        <x:v>-10</x:v>
      </x:c>
      <x:c r="L265" s="68" t="n">
        <x:f>ABS(K265)</x:f>
        <x:v>10</x:v>
      </x:c>
    </x:row>
    <x:row r="266" ht="22" customHeight="1">
      <x:c r="A266" s="68" t="str">
        <x:v>UP</x:v>
      </x:c>
      <x:c r="B266" s="68" t="str">
        <x:v>2026-02-14</x:v>
      </x:c>
      <x:c r="C266" s="68" t="n">
        <x:v>0</x:v>
      </x:c>
      <x:c r="D266" s="68" t="n">
        <x:v>15</x:v>
      </x:c>
      <x:c r="E266" s="68" t="n">
        <x:v>2</x:v>
      </x:c>
      <x:c r="F266" s="68" t="n">
        <x:v>6</x:v>
      </x:c>
      <x:c r="G266" s="68" t="n">
        <x:v>8</x:v>
      </x:c>
      <x:c r="H266" s="82" t="n">
        <x:v>307.51667</x:v>
      </x:c>
      <x:c r="I266" s="82" t="n">
        <x:v>13.27983</x:v>
      </x:c>
      <x:c r="J266" s="82" t="n">
        <x:v>36.81942</x:v>
      </x:c>
      <x:c r="K266" s="68" t="n">
        <x:f>E266-D266</x:f>
        <x:v>-13</x:v>
      </x:c>
      <x:c r="L266" s="68" t="n">
        <x:f>ABS(K266)</x:f>
        <x:v>13</x:v>
      </x:c>
    </x:row>
    <x:row r="267" ht="22" customHeight="1">
      <x:c r="A267" s="68" t="str">
        <x:v>UP</x:v>
      </x:c>
      <x:c r="B267" s="68" t="str">
        <x:v>2026-02-14</x:v>
      </x:c>
      <x:c r="C267" s="68" t="n">
        <x:v>1</x:v>
      </x:c>
      <x:c r="D267" s="68" t="n">
        <x:v>7</x:v>
      </x:c>
      <x:c r="E267" s="68" t="n">
        <x:v>7</x:v>
      </x:c>
      <x:c r="F267" s="68" t="n">
        <x:v>11</x:v>
      </x:c>
      <x:c r="G267" s="68" t="n">
        <x:v>18</x:v>
      </x:c>
      <x:c r="H267" s="82" t="n">
        <x:v>296.2</x:v>
      </x:c>
      <x:c r="I267" s="82" t="n">
        <x:v>64.879423</x:v>
      </x:c>
      <x:c r="J267" s="82" t="n">
        <x:v>81.835945</x:v>
      </x:c>
      <x:c r="K267" s="68" t="n">
        <x:f>E267-D267</x:f>
        <x:v>0</x:v>
      </x:c>
      <x:c r="L267" s="68" t="n">
        <x:f>ABS(K267)</x:f>
        <x:v>0</x:v>
      </x:c>
    </x:row>
    <x:row r="268" ht="22" customHeight="1">
      <x:c r="A268" s="68" t="str">
        <x:v>UP</x:v>
      </x:c>
      <x:c r="B268" s="68" t="str">
        <x:v>2026-02-14</x:v>
      </x:c>
      <x:c r="C268" s="68" t="n">
        <x:v>2</x:v>
      </x:c>
      <x:c r="D268" s="68" t="n">
        <x:v>3</x:v>
      </x:c>
      <x:c r="E268" s="68" t="n">
        <x:v>7</x:v>
      </x:c>
      <x:c r="F268" s="68" t="n">
        <x:v>13</x:v>
      </x:c>
      <x:c r="G268" s="68" t="n">
        <x:v>20</x:v>
      </x:c>
      <x:c r="H268" s="82" t="n">
        <x:v>151.41667</x:v>
      </x:c>
      <x:c r="I268" s="82" t="n">
        <x:v>101.859872</x:v>
      </x:c>
      <x:c r="J268" s="82" t="n">
        <x:v>76.802812</x:v>
      </x:c>
      <x:c r="K268" s="68" t="n">
        <x:f>E268-D268</x:f>
        <x:v>4</x:v>
      </x:c>
      <x:c r="L268" s="68" t="n">
        <x:f>ABS(K268)</x:f>
        <x:v>4</x:v>
      </x:c>
    </x:row>
    <x:row r="269" ht="22" customHeight="1">
      <x:c r="A269" s="68" t="str">
        <x:v>UP</x:v>
      </x:c>
      <x:c r="B269" s="68" t="str">
        <x:v>2026-02-14</x:v>
      </x:c>
      <x:c r="C269" s="68" t="n">
        <x:v>3</x:v>
      </x:c>
      <x:c r="D269" s="68" t="n">
        <x:v>5</x:v>
      </x:c>
      <x:c r="E269" s="68" t="n">
        <x:v>5</x:v>
      </x:c>
      <x:c r="F269" s="68" t="n">
        <x:v>8</x:v>
      </x:c>
      <x:c r="G269" s="68" t="n">
        <x:v>13</x:v>
      </x:c>
      <x:c r="H269" s="82" t="n">
        <x:v>240.06667</x:v>
      </x:c>
      <x:c r="I269" s="82" t="n">
        <x:v>26.868558</x:v>
      </x:c>
      <x:c r="J269" s="82" t="n">
        <x:v>35.468593</x:v>
      </x:c>
      <x:c r="K269" s="68" t="n">
        <x:f>E269-D269</x:f>
        <x:v>0</x:v>
      </x:c>
      <x:c r="L269" s="68" t="n">
        <x:f>ABS(K269)</x:f>
        <x:v>0</x:v>
      </x:c>
    </x:row>
    <x:row r="270" ht="22" customHeight="1">
      <x:c r="A270" s="68" t="str">
        <x:v>UP</x:v>
      </x:c>
      <x:c r="B270" s="68" t="str">
        <x:v>2026-02-14</x:v>
      </x:c>
      <x:c r="C270" s="68" t="n">
        <x:v>4</x:v>
      </x:c>
      <x:c r="D270" s="68" t="n">
        <x:v>5</x:v>
      </x:c>
      <x:c r="E270" s="68" t="n">
        <x:v>6</x:v>
      </x:c>
      <x:c r="F270" s="68" t="n">
        <x:v>7</x:v>
      </x:c>
      <x:c r="G270" s="68" t="n">
        <x:v>13</x:v>
      </x:c>
      <x:c r="H270" s="82" t="n">
        <x:v>269.05</x:v>
      </x:c>
      <x:c r="I270" s="82" t="n">
        <x:v>90.4077</x:v>
      </x:c>
      <x:c r="J270" s="82" t="n">
        <x:v>74.420018</x:v>
      </x:c>
      <x:c r="K270" s="68" t="n">
        <x:f>E270-D270</x:f>
        <x:v>1</x:v>
      </x:c>
      <x:c r="L270" s="68" t="n">
        <x:f>ABS(K270)</x:f>
        <x:v>1</x:v>
      </x:c>
    </x:row>
    <x:row r="271" ht="22" customHeight="1">
      <x:c r="A271" s="68" t="str">
        <x:v>UP</x:v>
      </x:c>
      <x:c r="B271" s="68" t="str">
        <x:v>2026-02-14</x:v>
      </x:c>
      <x:c r="C271" s="68" t="n">
        <x:v>5</x:v>
      </x:c>
      <x:c r="D271" s="68" t="n">
        <x:v>12</x:v>
      </x:c>
      <x:c r="E271" s="68" t="n">
        <x:v>6</x:v>
      </x:c>
      <x:c r="F271" s="68" t="n">
        <x:v>12</x:v>
      </x:c>
      <x:c r="G271" s="68" t="n">
        <x:v>18</x:v>
      </x:c>
      <x:c r="H271" s="82" t="n">
        <x:v>440.16666</x:v>
      </x:c>
      <x:c r="I271" s="82" t="n">
        <x:v>61.36335</x:v>
      </x:c>
      <x:c r="J271" s="82" t="n">
        <x:v>96.009105</x:v>
      </x:c>
      <x:c r="K271" s="68" t="n">
        <x:f>E271-D271</x:f>
        <x:v>-6</x:v>
      </x:c>
      <x:c r="L271" s="68" t="n">
        <x:f>ABS(K271)</x:f>
        <x:v>6</x:v>
      </x:c>
    </x:row>
    <x:row r="272" ht="22" customHeight="1">
      <x:c r="A272" s="68" t="str">
        <x:v>UP</x:v>
      </x:c>
      <x:c r="B272" s="68" t="str">
        <x:v>2026-02-14</x:v>
      </x:c>
      <x:c r="C272" s="68" t="n">
        <x:v>6</x:v>
      </x:c>
      <x:c r="D272" s="68" t="n">
        <x:v>10</x:v>
      </x:c>
      <x:c r="E272" s="68" t="n">
        <x:v>7</x:v>
      </x:c>
      <x:c r="F272" s="68" t="n">
        <x:v>16</x:v>
      </x:c>
      <x:c r="G272" s="68" t="n">
        <x:v>23</x:v>
      </x:c>
      <x:c r="H272" s="82" t="n">
        <x:v>503.93334</x:v>
      </x:c>
      <x:c r="I272" s="82" t="n">
        <x:v>48.370199</x:v>
      </x:c>
      <x:c r="J272" s="82" t="n">
        <x:v>132.690703</x:v>
      </x:c>
      <x:c r="K272" s="68" t="n">
        <x:f>E272-D272</x:f>
        <x:v>-3</x:v>
      </x:c>
      <x:c r="L272" s="68" t="n">
        <x:f>ABS(K272)</x:f>
        <x:v>3</x:v>
      </x:c>
    </x:row>
    <x:row r="273" ht="22" customHeight="1">
      <x:c r="A273" s="68" t="str">
        <x:v>UP</x:v>
      </x:c>
      <x:c r="B273" s="68" t="str">
        <x:v>2026-02-14</x:v>
      </x:c>
      <x:c r="C273" s="68" t="n">
        <x:v>7</x:v>
      </x:c>
      <x:c r="D273" s="68" t="n">
        <x:v>17</x:v>
      </x:c>
      <x:c r="E273" s="68" t="n">
        <x:v>13</x:v>
      </x:c>
      <x:c r="F273" s="68" t="n">
        <x:v>23</x:v>
      </x:c>
      <x:c r="G273" s="68" t="n">
        <x:v>36</x:v>
      </x:c>
      <x:c r="H273" s="82" t="n">
        <x:v>539.36666</x:v>
      </x:c>
      <x:c r="I273" s="82" t="n">
        <x:v>156.658103</x:v>
      </x:c>
      <x:c r="J273" s="82" t="n">
        <x:v>65.03857</x:v>
      </x:c>
      <x:c r="K273" s="68" t="n">
        <x:f>E273-D273</x:f>
        <x:v>-4</x:v>
      </x:c>
      <x:c r="L273" s="68" t="n">
        <x:f>ABS(K273)</x:f>
        <x:v>4</x:v>
      </x:c>
    </x:row>
    <x:row r="274" ht="22" customHeight="1">
      <x:c r="A274" s="68" t="str">
        <x:v>UP</x:v>
      </x:c>
      <x:c r="B274" s="68" t="str">
        <x:v>2026-02-14</x:v>
      </x:c>
      <x:c r="C274" s="68" t="n">
        <x:v>8</x:v>
      </x:c>
      <x:c r="D274" s="68" t="n">
        <x:v>17</x:v>
      </x:c>
      <x:c r="E274" s="68" t="n">
        <x:v>15</x:v>
      </x:c>
      <x:c r="F274" s="68" t="n">
        <x:v>28</x:v>
      </x:c>
      <x:c r="G274" s="68" t="n">
        <x:v>43</x:v>
      </x:c>
      <x:c r="H274" s="82" t="n">
        <x:v>682.88333</x:v>
      </x:c>
      <x:c r="I274" s="82" t="n">
        <x:v>96.891531</x:v>
      </x:c>
      <x:c r="J274" s="82" t="n">
        <x:v>174.905259</x:v>
      </x:c>
      <x:c r="K274" s="68" t="n">
        <x:f>E274-D274</x:f>
        <x:v>-2</x:v>
      </x:c>
      <x:c r="L274" s="68" t="n">
        <x:f>ABS(K274)</x:f>
        <x:v>2</x:v>
      </x:c>
    </x:row>
    <x:row r="275" ht="22" customHeight="1">
      <x:c r="A275" s="68" t="str">
        <x:v>UP</x:v>
      </x:c>
      <x:c r="B275" s="68" t="str">
        <x:v>2026-02-14</x:v>
      </x:c>
      <x:c r="C275" s="68" t="n">
        <x:v>9</x:v>
      </x:c>
      <x:c r="D275" s="68" t="n">
        <x:v>23</x:v>
      </x:c>
      <x:c r="E275" s="68" t="n">
        <x:v>16</x:v>
      </x:c>
      <x:c r="F275" s="68" t="n">
        <x:v>37</x:v>
      </x:c>
      <x:c r="G275" s="68" t="n">
        <x:v>53</x:v>
      </x:c>
      <x:c r="H275" s="82" t="n">
        <x:v>727.03334</x:v>
      </x:c>
      <x:c r="I275" s="82" t="n">
        <x:v>153.258329</x:v>
      </x:c>
      <x:c r="J275" s="82" t="n">
        <x:v>218.13236</x:v>
      </x:c>
      <x:c r="K275" s="68" t="n">
        <x:f>E275-D275</x:f>
        <x:v>-7</x:v>
      </x:c>
      <x:c r="L275" s="68" t="n">
        <x:f>ABS(K275)</x:f>
        <x:v>7</x:v>
      </x:c>
    </x:row>
    <x:row r="276" ht="22" customHeight="1">
      <x:c r="A276" s="68" t="str">
        <x:v>UP</x:v>
      </x:c>
      <x:c r="B276" s="68" t="str">
        <x:v>2026-02-14</x:v>
      </x:c>
      <x:c r="C276" s="68" t="n">
        <x:v>10</x:v>
      </x:c>
      <x:c r="D276" s="68" t="n">
        <x:v>28</x:v>
      </x:c>
      <x:c r="E276" s="68" t="n">
        <x:v>17</x:v>
      </x:c>
      <x:c r="F276" s="68" t="n">
        <x:v>35</x:v>
      </x:c>
      <x:c r="G276" s="68" t="n">
        <x:v>52</x:v>
      </x:c>
      <x:c r="H276" s="82" t="n">
        <x:v>782.71665</x:v>
      </x:c>
      <x:c r="I276" s="82" t="n">
        <x:v>140.872429</x:v>
      </x:c>
      <x:c r="J276" s="82" t="n">
        <x:v>304.76401</x:v>
      </x:c>
      <x:c r="K276" s="68" t="n">
        <x:f>E276-D276</x:f>
        <x:v>-11</x:v>
      </x:c>
      <x:c r="L276" s="68" t="n">
        <x:f>ABS(K276)</x:f>
        <x:v>11</x:v>
      </x:c>
    </x:row>
    <x:row r="277" ht="22" customHeight="1">
      <x:c r="A277" s="68" t="str">
        <x:v>UP</x:v>
      </x:c>
      <x:c r="B277" s="68" t="str">
        <x:v>2026-02-14</x:v>
      </x:c>
      <x:c r="C277" s="68" t="n">
        <x:v>11</x:v>
      </x:c>
      <x:c r="D277" s="68" t="n">
        <x:v>37</x:v>
      </x:c>
      <x:c r="E277" s="68" t="n">
        <x:v>19</x:v>
      </x:c>
      <x:c r="F277" s="68" t="n">
        <x:v>47</x:v>
      </x:c>
      <x:c r="G277" s="68" t="n">
        <x:v>66</x:v>
      </x:c>
      <x:c r="H277" s="82" t="n">
        <x:v>835.21666</x:v>
      </x:c>
      <x:c r="I277" s="82" t="n">
        <x:v>106.73328</x:v>
      </x:c>
      <x:c r="J277" s="82" t="n">
        <x:v>248.328116</x:v>
      </x:c>
      <x:c r="K277" s="68" t="n">
        <x:f>E277-D277</x:f>
        <x:v>-18</x:v>
      </x:c>
      <x:c r="L277" s="68" t="n">
        <x:f>ABS(K277)</x:f>
        <x:v>18</x:v>
      </x:c>
    </x:row>
    <x:row r="278" ht="22" customHeight="1">
      <x:c r="A278" s="68" t="str">
        <x:v>UP</x:v>
      </x:c>
      <x:c r="B278" s="68" t="str">
        <x:v>2026-02-14</x:v>
      </x:c>
      <x:c r="C278" s="68" t="n">
        <x:v>12</x:v>
      </x:c>
      <x:c r="D278" s="68" t="n">
        <x:v>43</x:v>
      </x:c>
      <x:c r="E278" s="68" t="n">
        <x:v>19</x:v>
      </x:c>
      <x:c r="F278" s="68" t="n">
        <x:v>37</x:v>
      </x:c>
      <x:c r="G278" s="68" t="n">
        <x:v>56</x:v>
      </x:c>
      <x:c r="H278" s="82" t="n">
        <x:v>1170.8</x:v>
      </x:c>
      <x:c r="I278" s="82" t="n">
        <x:v>223.038693</x:v>
      </x:c>
      <x:c r="J278" s="82" t="n">
        <x:v>232.109808</x:v>
      </x:c>
      <x:c r="K278" s="68" t="n">
        <x:f>E278-D278</x:f>
        <x:v>-24</x:v>
      </x:c>
      <x:c r="L278" s="68" t="n">
        <x:f>ABS(K278)</x:f>
        <x:v>24</x:v>
      </x:c>
    </x:row>
    <x:row r="279" ht="22" customHeight="1">
      <x:c r="A279" s="68" t="str">
        <x:v>UP</x:v>
      </x:c>
      <x:c r="B279" s="68" t="str">
        <x:v>2026-02-14</x:v>
      </x:c>
      <x:c r="C279" s="68" t="n">
        <x:v>13</x:v>
      </x:c>
      <x:c r="D279" s="68" t="n">
        <x:v>39</x:v>
      </x:c>
      <x:c r="E279" s="68" t="n">
        <x:v>23</x:v>
      </x:c>
      <x:c r="F279" s="68" t="n">
        <x:v>35</x:v>
      </x:c>
      <x:c r="G279" s="68" t="n">
        <x:v>58</x:v>
      </x:c>
      <x:c r="H279" s="82" t="n">
        <x:v>1227.11666</x:v>
      </x:c>
      <x:c r="I279" s="82" t="n">
        <x:v>169.186996</x:v>
      </x:c>
      <x:c r="J279" s="82" t="n">
        <x:v>262.410397</x:v>
      </x:c>
      <x:c r="K279" s="68" t="n">
        <x:f>E279-D279</x:f>
        <x:v>-16</x:v>
      </x:c>
      <x:c r="L279" s="68" t="n">
        <x:f>ABS(K279)</x:f>
        <x:v>16</x:v>
      </x:c>
    </x:row>
    <x:row r="280" ht="22" customHeight="1">
      <x:c r="A280" s="68" t="str">
        <x:v>UP</x:v>
      </x:c>
      <x:c r="B280" s="68" t="str">
        <x:v>2026-02-14</x:v>
      </x:c>
      <x:c r="C280" s="68" t="n">
        <x:v>14</x:v>
      </x:c>
      <x:c r="D280" s="68" t="n">
        <x:v>42</x:v>
      </x:c>
      <x:c r="E280" s="68" t="n">
        <x:v>20</x:v>
      </x:c>
      <x:c r="F280" s="68" t="n">
        <x:v>39</x:v>
      </x:c>
      <x:c r="G280" s="68" t="n">
        <x:v>59</x:v>
      </x:c>
      <x:c r="H280" s="82" t="n">
        <x:v>1175.84999</x:v>
      </x:c>
      <x:c r="I280" s="82" t="n">
        <x:v>302.281901</x:v>
      </x:c>
      <x:c r="J280" s="82" t="n">
        <x:v>242.187654</x:v>
      </x:c>
      <x:c r="K280" s="68" t="n">
        <x:f>E280-D280</x:f>
        <x:v>-22</x:v>
      </x:c>
      <x:c r="L280" s="68" t="n">
        <x:f>ABS(K280)</x:f>
        <x:v>22</x:v>
      </x:c>
    </x:row>
    <x:row r="281" ht="22" customHeight="1">
      <x:c r="A281" s="68" t="str">
        <x:v>UP</x:v>
      </x:c>
      <x:c r="B281" s="68" t="str">
        <x:v>2026-02-14</x:v>
      </x:c>
      <x:c r="C281" s="68" t="n">
        <x:v>15</x:v>
      </x:c>
      <x:c r="D281" s="68" t="n">
        <x:v>27</x:v>
      </x:c>
      <x:c r="E281" s="68" t="n">
        <x:v>19</x:v>
      </x:c>
      <x:c r="F281" s="68" t="n">
        <x:v>43</x:v>
      </x:c>
      <x:c r="G281" s="68" t="n">
        <x:v>62</x:v>
      </x:c>
      <x:c r="H281" s="82" t="n">
        <x:v>691.60001</x:v>
      </x:c>
      <x:c r="I281" s="82" t="n">
        <x:v>220.008757</x:v>
      </x:c>
      <x:c r="J281" s="82" t="n">
        <x:v>420.540741</x:v>
      </x:c>
      <x:c r="K281" s="68" t="n">
        <x:f>E281-D281</x:f>
        <x:v>-8</x:v>
      </x:c>
      <x:c r="L281" s="68" t="n">
        <x:f>ABS(K281)</x:f>
        <x:v>8</x:v>
      </x:c>
    </x:row>
    <x:row r="282" ht="22" customHeight="1">
      <x:c r="A282" s="68" t="str">
        <x:v>UP</x:v>
      </x:c>
      <x:c r="B282" s="68" t="str">
        <x:v>2026-02-14</x:v>
      </x:c>
      <x:c r="C282" s="68" t="n">
        <x:v>16</x:v>
      </x:c>
      <x:c r="D282" s="68" t="n">
        <x:v>30</x:v>
      </x:c>
      <x:c r="E282" s="68" t="n">
        <x:v>20</x:v>
      </x:c>
      <x:c r="F282" s="68" t="n">
        <x:v>40</x:v>
      </x:c>
      <x:c r="G282" s="68" t="n">
        <x:v>60</x:v>
      </x:c>
      <x:c r="H282" s="82" t="n">
        <x:v>956.68334</x:v>
      </x:c>
      <x:c r="I282" s="82" t="n">
        <x:v>409.939118</x:v>
      </x:c>
      <x:c r="J282" s="82" t="n">
        <x:v>256.581633</x:v>
      </x:c>
      <x:c r="K282" s="68" t="n">
        <x:f>E282-D282</x:f>
        <x:v>-10</x:v>
      </x:c>
      <x:c r="L282" s="68" t="n">
        <x:f>ABS(K282)</x:f>
        <x:v>10</x:v>
      </x:c>
    </x:row>
    <x:row r="283" ht="22" customHeight="1">
      <x:c r="A283" s="68" t="str">
        <x:v>UP</x:v>
      </x:c>
      <x:c r="B283" s="68" t="str">
        <x:v>2026-02-14</x:v>
      </x:c>
      <x:c r="C283" s="68" t="n">
        <x:v>17</x:v>
      </x:c>
      <x:c r="D283" s="68" t="n">
        <x:v>23</x:v>
      </x:c>
      <x:c r="E283" s="68" t="n">
        <x:v>25</x:v>
      </x:c>
      <x:c r="F283" s="68" t="n">
        <x:v>42</x:v>
      </x:c>
      <x:c r="G283" s="68" t="n">
        <x:v>67</x:v>
      </x:c>
      <x:c r="H283" s="82" t="n">
        <x:v>763.30001</x:v>
      </x:c>
      <x:c r="I283" s="82" t="n">
        <x:v>254.436325</x:v>
      </x:c>
      <x:c r="J283" s="82" t="n">
        <x:v>294.046926</x:v>
      </x:c>
      <x:c r="K283" s="68" t="n">
        <x:f>E283-D283</x:f>
        <x:v>2</x:v>
      </x:c>
      <x:c r="L283" s="68" t="n">
        <x:f>ABS(K283)</x:f>
        <x:v>2</x:v>
      </x:c>
    </x:row>
    <x:row r="284" ht="22" customHeight="1">
      <x:c r="A284" s="68" t="str">
        <x:v>UP</x:v>
      </x:c>
      <x:c r="B284" s="68" t="str">
        <x:v>2026-02-14</x:v>
      </x:c>
      <x:c r="C284" s="68" t="n">
        <x:v>18</x:v>
      </x:c>
      <x:c r="D284" s="68" t="n">
        <x:v>25</x:v>
      </x:c>
      <x:c r="E284" s="68" t="n">
        <x:v>23</x:v>
      </x:c>
      <x:c r="F284" s="68" t="n">
        <x:v>40</x:v>
      </x:c>
      <x:c r="G284" s="68" t="n">
        <x:v>63</x:v>
      </x:c>
      <x:c r="H284" s="82" t="n">
        <x:v>647.81665</x:v>
      </x:c>
      <x:c r="I284" s="82" t="n">
        <x:v>309.686818</x:v>
      </x:c>
      <x:c r="J284" s="82" t="n">
        <x:v>266.711435</x:v>
      </x:c>
      <x:c r="K284" s="68" t="n">
        <x:f>E284-D284</x:f>
        <x:v>-2</x:v>
      </x:c>
      <x:c r="L284" s="68" t="n">
        <x:f>ABS(K284)</x:f>
        <x:v>2</x:v>
      </x:c>
    </x:row>
    <x:row r="285" ht="22" customHeight="1">
      <x:c r="A285" s="68" t="str">
        <x:v>UP</x:v>
      </x:c>
      <x:c r="B285" s="68" t="str">
        <x:v>2026-02-14</x:v>
      </x:c>
      <x:c r="C285" s="68" t="n">
        <x:v>19</x:v>
      </x:c>
      <x:c r="D285" s="68" t="n">
        <x:v>19</x:v>
      </x:c>
      <x:c r="E285" s="68" t="n">
        <x:v>27</x:v>
      </x:c>
      <x:c r="F285" s="68" t="n">
        <x:v>31</x:v>
      </x:c>
      <x:c r="G285" s="68" t="n">
        <x:v>58</x:v>
      </x:c>
      <x:c r="H285" s="82" t="n">
        <x:v>598.81666</x:v>
      </x:c>
      <x:c r="I285" s="82" t="n">
        <x:v>402.66851</x:v>
      </x:c>
      <x:c r="J285" s="82" t="n">
        <x:v>204.790842</x:v>
      </x:c>
      <x:c r="K285" s="68" t="n">
        <x:f>E285-D285</x:f>
        <x:v>8</x:v>
      </x:c>
      <x:c r="L285" s="68" t="n">
        <x:f>ABS(K285)</x:f>
        <x:v>8</x:v>
      </x:c>
    </x:row>
    <x:row r="286" ht="22" customHeight="1">
      <x:c r="A286" s="68" t="str">
        <x:v>UP</x:v>
      </x:c>
      <x:c r="B286" s="68" t="str">
        <x:v>2026-02-14</x:v>
      </x:c>
      <x:c r="C286" s="68" t="n">
        <x:v>20</x:v>
      </x:c>
      <x:c r="D286" s="68" t="n">
        <x:v>23</x:v>
      </x:c>
      <x:c r="E286" s="68" t="n">
        <x:v>11</x:v>
      </x:c>
      <x:c r="F286" s="68" t="n">
        <x:v>34</x:v>
      </x:c>
      <x:c r="G286" s="68" t="n">
        <x:v>45</x:v>
      </x:c>
      <x:c r="H286" s="82" t="n">
        <x:v>626.96667</x:v>
      </x:c>
      <x:c r="I286" s="82" t="n">
        <x:v>232.081306</x:v>
      </x:c>
      <x:c r="J286" s="82" t="n">
        <x:v>224.111635</x:v>
      </x:c>
      <x:c r="K286" s="68" t="n">
        <x:f>E286-D286</x:f>
        <x:v>-12</x:v>
      </x:c>
      <x:c r="L286" s="68" t="n">
        <x:f>ABS(K286)</x:f>
        <x:v>12</x:v>
      </x:c>
    </x:row>
    <x:row r="287" ht="22" customHeight="1">
      <x:c r="A287" s="68" t="str">
        <x:v>UP</x:v>
      </x:c>
      <x:c r="B287" s="68" t="str">
        <x:v>2026-02-14</x:v>
      </x:c>
      <x:c r="C287" s="68" t="n">
        <x:v>21</x:v>
      </x:c>
      <x:c r="D287" s="68" t="n">
        <x:v>19</x:v>
      </x:c>
      <x:c r="E287" s="68" t="n">
        <x:v>26</x:v>
      </x:c>
      <x:c r="F287" s="68" t="n">
        <x:v>24</x:v>
      </x:c>
      <x:c r="G287" s="68" t="n">
        <x:v>50</x:v>
      </x:c>
      <x:c r="H287" s="82" t="n">
        <x:v>627.78334</x:v>
      </x:c>
      <x:c r="I287" s="82" t="n">
        <x:v>226.35841</x:v>
      </x:c>
      <x:c r="J287" s="82" t="n">
        <x:v>170.735648</x:v>
      </x:c>
      <x:c r="K287" s="68" t="n">
        <x:f>E287-D287</x:f>
        <x:v>7</x:v>
      </x:c>
      <x:c r="L287" s="68" t="n">
        <x:f>ABS(K287)</x:f>
        <x:v>7</x:v>
      </x:c>
    </x:row>
    <x:row r="288" ht="22" customHeight="1">
      <x:c r="A288" s="68" t="str">
        <x:v>UP</x:v>
      </x:c>
      <x:c r="B288" s="68" t="str">
        <x:v>2026-02-14</x:v>
      </x:c>
      <x:c r="C288" s="68" t="n">
        <x:v>22</x:v>
      </x:c>
      <x:c r="D288" s="68" t="n">
        <x:v>17</x:v>
      </x:c>
      <x:c r="E288" s="68" t="n">
        <x:v>14</x:v>
      </x:c>
      <x:c r="F288" s="68" t="n">
        <x:v>27</x:v>
      </x:c>
      <x:c r="G288" s="68" t="n">
        <x:v>41</x:v>
      </x:c>
      <x:c r="H288" s="82" t="n">
        <x:v>447.76666</x:v>
      </x:c>
      <x:c r="I288" s="82" t="n">
        <x:v>309.018013</x:v>
      </x:c>
      <x:c r="J288" s="82" t="n">
        <x:v>138.54252</x:v>
      </x:c>
      <x:c r="K288" s="68" t="n">
        <x:f>E288-D288</x:f>
        <x:v>-3</x:v>
      </x:c>
      <x:c r="L288" s="68" t="n">
        <x:f>ABS(K288)</x:f>
        <x:v>3</x:v>
      </x:c>
    </x:row>
    <x:row r="289" ht="22" customHeight="1">
      <x:c r="A289" s="68" t="str">
        <x:v>UP</x:v>
      </x:c>
      <x:c r="B289" s="68" t="str">
        <x:v>2026-02-14</x:v>
      </x:c>
      <x:c r="C289" s="68" t="n">
        <x:v>23</x:v>
      </x:c>
      <x:c r="D289" s="68" t="n">
        <x:v>14</x:v>
      </x:c>
      <x:c r="E289" s="68" t="n">
        <x:v>11</x:v>
      </x:c>
      <x:c r="F289" s="68" t="n">
        <x:v>26</x:v>
      </x:c>
      <x:c r="G289" s="68" t="n">
        <x:v>37</x:v>
      </x:c>
      <x:c r="H289" s="82" t="n">
        <x:v>488.16668</x:v>
      </x:c>
      <x:c r="I289" s="82" t="n">
        <x:v>117.771552</x:v>
      </x:c>
      <x:c r="J289" s="82" t="n">
        <x:v>172.600303</x:v>
      </x:c>
      <x:c r="K289" s="68" t="n">
        <x:f>E289-D289</x:f>
        <x:v>-3</x:v>
      </x:c>
      <x:c r="L289" s="68" t="n">
        <x:f>ABS(K289)</x:f>
        <x:v>3</x:v>
      </x:c>
    </x:row>
    <x:row r="290" ht="22" customHeight="1">
      <x:c r="A290" s="68" t="str">
        <x:v>UP</x:v>
      </x:c>
      <x:c r="B290" s="68" t="str">
        <x:v>2026-02-15</x:v>
      </x:c>
      <x:c r="C290" s="68" t="n">
        <x:v>0</x:v>
      </x:c>
      <x:c r="D290" s="68" t="n">
        <x:v>6</x:v>
      </x:c>
      <x:c r="E290" s="68" t="n">
        <x:v>2</x:v>
      </x:c>
      <x:c r="F290" s="68" t="n">
        <x:v>5</x:v>
      </x:c>
      <x:c r="G290" s="68" t="n">
        <x:v>7</x:v>
      </x:c>
      <x:c r="H290" s="82" t="n">
        <x:v>300.01666</x:v>
      </x:c>
      <x:c r="I290" s="82" t="n">
        <x:v>20.66326</x:v>
      </x:c>
      <x:c r="J290" s="82" t="n">
        <x:v>9.438368</x:v>
      </x:c>
      <x:c r="K290" s="68" t="n">
        <x:f>E290-D290</x:f>
        <x:v>-4</x:v>
      </x:c>
      <x:c r="L290" s="68" t="n">
        <x:f>ABS(K290)</x:f>
        <x:v>4</x:v>
      </x:c>
    </x:row>
    <x:row r="291" ht="22" customHeight="1">
      <x:c r="A291" s="68" t="str">
        <x:v>UP</x:v>
      </x:c>
      <x:c r="B291" s="68" t="str">
        <x:v>2026-02-15</x:v>
      </x:c>
      <x:c r="C291" s="68" t="n">
        <x:v>1</x:v>
      </x:c>
      <x:c r="D291" s="68" t="n">
        <x:v>6</x:v>
      </x:c>
      <x:c r="E291" s="68" t="n">
        <x:v>5</x:v>
      </x:c>
      <x:c r="F291" s="68" t="n">
        <x:v>16</x:v>
      </x:c>
      <x:c r="G291" s="68" t="n">
        <x:v>21</x:v>
      </x:c>
      <x:c r="H291" s="82" t="n">
        <x:v>156.73334</x:v>
      </x:c>
      <x:c r="I291" s="82" t="n">
        <x:v>61.453824</x:v>
      </x:c>
      <x:c r="J291" s="82" t="n">
        <x:v>76.752146</x:v>
      </x:c>
      <x:c r="K291" s="68" t="n">
        <x:f>E291-D291</x:f>
        <x:v>-1</x:v>
      </x:c>
      <x:c r="L291" s="68" t="n">
        <x:f>ABS(K291)</x:f>
        <x:v>1</x:v>
      </x:c>
    </x:row>
    <x:row r="292" ht="22" customHeight="1">
      <x:c r="A292" s="68" t="str">
        <x:v>UP</x:v>
      </x:c>
      <x:c r="B292" s="68" t="str">
        <x:v>2026-02-15</x:v>
      </x:c>
      <x:c r="C292" s="68" t="n">
        <x:v>2</x:v>
      </x:c>
      <x:c r="D292" s="68" t="n">
        <x:v>7</x:v>
      </x:c>
      <x:c r="E292" s="68" t="n">
        <x:v>2</x:v>
      </x:c>
      <x:c r="F292" s="68" t="n">
        <x:v>12</x:v>
      </x:c>
      <x:c r="G292" s="68" t="n">
        <x:v>14</x:v>
      </x:c>
      <x:c r="H292" s="82" t="n">
        <x:v>185.4</x:v>
      </x:c>
      <x:c r="I292" s="82" t="n">
        <x:v>68.0837</x:v>
      </x:c>
      <x:c r="J292" s="82" t="n">
        <x:v>58.107688</x:v>
      </x:c>
      <x:c r="K292" s="68" t="n">
        <x:f>E292-D292</x:f>
        <x:v>-5</x:v>
      </x:c>
      <x:c r="L292" s="68" t="n">
        <x:f>ABS(K292)</x:f>
        <x:v>5</x:v>
      </x:c>
    </x:row>
    <x:row r="293" ht="22" customHeight="1">
      <x:c r="A293" s="68" t="str">
        <x:v>UP</x:v>
      </x:c>
      <x:c r="B293" s="68" t="str">
        <x:v>2026-02-15</x:v>
      </x:c>
      <x:c r="C293" s="68" t="n">
        <x:v>3</x:v>
      </x:c>
      <x:c r="D293" s="68" t="n">
        <x:v>4</x:v>
      </x:c>
      <x:c r="E293" s="68" t="n">
        <x:v>3</x:v>
      </x:c>
      <x:c r="F293" s="68" t="n">
        <x:v>6</x:v>
      </x:c>
      <x:c r="G293" s="68" t="n">
        <x:v>9</x:v>
      </x:c>
      <x:c r="H293" s="82" t="n">
        <x:v>163.28334</x:v>
      </x:c>
      <x:c r="I293" s="82" t="n">
        <x:v>11.338518</x:v>
      </x:c>
      <x:c r="J293" s="82" t="n">
        <x:v>27.661586</x:v>
      </x:c>
      <x:c r="K293" s="68" t="n">
        <x:f>E293-D293</x:f>
        <x:v>-1</x:v>
      </x:c>
      <x:c r="L293" s="68" t="n">
        <x:f>ABS(K293)</x:f>
        <x:v>1</x:v>
      </x:c>
    </x:row>
    <x:row r="294" ht="22" customHeight="1">
      <x:c r="A294" s="68" t="str">
        <x:v>UP</x:v>
      </x:c>
      <x:c r="B294" s="68" t="str">
        <x:v>2026-02-15</x:v>
      </x:c>
      <x:c r="C294" s="68" t="n">
        <x:v>4</x:v>
      </x:c>
      <x:c r="D294" s="68" t="n">
        <x:v>3</x:v>
      </x:c>
      <x:c r="E294" s="68" t="n">
        <x:v>2</x:v>
      </x:c>
      <x:c r="F294" s="68" t="n">
        <x:v>7</x:v>
      </x:c>
      <x:c r="G294" s="68" t="n">
        <x:v>9</x:v>
      </x:c>
      <x:c r="H294" s="82" t="n">
        <x:v>116.65</x:v>
      </x:c>
      <x:c r="I294" s="82" t="n">
        <x:v>11.94155</x:v>
      </x:c>
      <x:c r="J294" s="82" t="n">
        <x:v>42.097361</x:v>
      </x:c>
      <x:c r="K294" s="68" t="n">
        <x:f>E294-D294</x:f>
        <x:v>-1</x:v>
      </x:c>
      <x:c r="L294" s="68" t="n">
        <x:f>ABS(K294)</x:f>
        <x:v>1</x:v>
      </x:c>
    </x:row>
    <x:row r="295" ht="22" customHeight="1">
      <x:c r="A295" s="68" t="str">
        <x:v>UP</x:v>
      </x:c>
      <x:c r="B295" s="68" t="str">
        <x:v>2026-02-15</x:v>
      </x:c>
      <x:c r="C295" s="68" t="n">
        <x:v>5</x:v>
      </x:c>
      <x:c r="D295" s="68" t="n">
        <x:v>5</x:v>
      </x:c>
      <x:c r="E295" s="68" t="n">
        <x:v>3</x:v>
      </x:c>
      <x:c r="F295" s="68" t="n">
        <x:v>7</x:v>
      </x:c>
      <x:c r="G295" s="68" t="n">
        <x:v>10</x:v>
      </x:c>
      <x:c r="H295" s="82" t="n">
        <x:v>178.25</x:v>
      </x:c>
      <x:c r="I295" s="82" t="n">
        <x:v>96.044205</x:v>
      </x:c>
      <x:c r="J295" s="82" t="n">
        <x:v>42.299246</x:v>
      </x:c>
      <x:c r="K295" s="68" t="n">
        <x:f>E295-D295</x:f>
        <x:v>-2</x:v>
      </x:c>
      <x:c r="L295" s="68" t="n">
        <x:f>ABS(K295)</x:f>
        <x:v>2</x:v>
      </x:c>
    </x:row>
    <x:row r="296" ht="22" customHeight="1">
      <x:c r="A296" s="68" t="str">
        <x:v>UP</x:v>
      </x:c>
      <x:c r="B296" s="68" t="str">
        <x:v>2026-02-15</x:v>
      </x:c>
      <x:c r="C296" s="68" t="n">
        <x:v>6</x:v>
      </x:c>
      <x:c r="D296" s="68" t="n">
        <x:v>8</x:v>
      </x:c>
      <x:c r="E296" s="68" t="n">
        <x:v>5</x:v>
      </x:c>
      <x:c r="F296" s="68" t="n">
        <x:v>13</x:v>
      </x:c>
      <x:c r="G296" s="68" t="n">
        <x:v>18</x:v>
      </x:c>
      <x:c r="H296" s="82" t="n">
        <x:v>256.09999</x:v>
      </x:c>
      <x:c r="I296" s="82" t="n">
        <x:v>38.960102</x:v>
      </x:c>
      <x:c r="J296" s="82" t="n">
        <x:v>108.260262</x:v>
      </x:c>
      <x:c r="K296" s="68" t="n">
        <x:f>E296-D296</x:f>
        <x:v>-3</x:v>
      </x:c>
      <x:c r="L296" s="68" t="n">
        <x:f>ABS(K296)</x:f>
        <x:v>3</x:v>
      </x:c>
    </x:row>
    <x:row r="297" ht="22" customHeight="1">
      <x:c r="A297" s="68" t="str">
        <x:v>UP</x:v>
      </x:c>
      <x:c r="B297" s="68" t="str">
        <x:v>2026-02-15</x:v>
      </x:c>
      <x:c r="C297" s="68" t="n">
        <x:v>7</x:v>
      </x:c>
      <x:c r="D297" s="68" t="n">
        <x:v>13</x:v>
      </x:c>
      <x:c r="E297" s="68" t="n">
        <x:v>2</x:v>
      </x:c>
      <x:c r="F297" s="68" t="n">
        <x:v>11</x:v>
      </x:c>
      <x:c r="G297" s="68" t="n">
        <x:v>13</x:v>
      </x:c>
      <x:c r="H297" s="82" t="n">
        <x:v>337.81667</x:v>
      </x:c>
      <x:c r="I297" s="82" t="n">
        <x:v>52.201756</x:v>
      </x:c>
      <x:c r="J297" s="82" t="n">
        <x:v>71.96445</x:v>
      </x:c>
      <x:c r="K297" s="68" t="n">
        <x:f>E297-D297</x:f>
        <x:v>-11</x:v>
      </x:c>
      <x:c r="L297" s="68" t="n">
        <x:f>ABS(K297)</x:f>
        <x:v>11</x:v>
      </x:c>
    </x:row>
    <x:row r="298" ht="22" customHeight="1">
      <x:c r="A298" s="68" t="str">
        <x:v>UP</x:v>
      </x:c>
      <x:c r="B298" s="68" t="str">
        <x:v>2026-02-15</x:v>
      </x:c>
      <x:c r="C298" s="68" t="n">
        <x:v>8</x:v>
      </x:c>
      <x:c r="D298" s="68" t="n">
        <x:v>14</x:v>
      </x:c>
      <x:c r="E298" s="68" t="n">
        <x:v>12</x:v>
      </x:c>
      <x:c r="F298" s="68" t="n">
        <x:v>19</x:v>
      </x:c>
      <x:c r="G298" s="68" t="n">
        <x:v>31</x:v>
      </x:c>
      <x:c r="H298" s="82" t="n">
        <x:v>464.1</x:v>
      </x:c>
      <x:c r="I298" s="82" t="n">
        <x:v>115.091971</x:v>
      </x:c>
      <x:c r="J298" s="82" t="n">
        <x:v>62.97125</x:v>
      </x:c>
      <x:c r="K298" s="68" t="n">
        <x:f>E298-D298</x:f>
        <x:v>-2</x:v>
      </x:c>
      <x:c r="L298" s="68" t="n">
        <x:f>ABS(K298)</x:f>
        <x:v>2</x:v>
      </x:c>
    </x:row>
    <x:row r="299" ht="22" customHeight="1">
      <x:c r="A299" s="68" t="str">
        <x:v>UP</x:v>
      </x:c>
      <x:c r="B299" s="68" t="str">
        <x:v>2026-02-15</x:v>
      </x:c>
      <x:c r="C299" s="68" t="n">
        <x:v>9</x:v>
      </x:c>
      <x:c r="D299" s="68" t="n">
        <x:v>22</x:v>
      </x:c>
      <x:c r="E299" s="68" t="n">
        <x:v>15</x:v>
      </x:c>
      <x:c r="F299" s="68" t="n">
        <x:v>33</x:v>
      </x:c>
      <x:c r="G299" s="68" t="n">
        <x:v>48</x:v>
      </x:c>
      <x:c r="H299" s="82" t="n">
        <x:v>602.14999</x:v>
      </x:c>
      <x:c r="I299" s="82" t="n">
        <x:v>136.179288</x:v>
      </x:c>
      <x:c r="J299" s="82" t="n">
        <x:v>158.50856</x:v>
      </x:c>
      <x:c r="K299" s="68" t="n">
        <x:f>E299-D299</x:f>
        <x:v>-7</x:v>
      </x:c>
      <x:c r="L299" s="68" t="n">
        <x:f>ABS(K299)</x:f>
        <x:v>7</x:v>
      </x:c>
    </x:row>
    <x:row r="300" ht="22" customHeight="1">
      <x:c r="A300" s="68" t="str">
        <x:v>UP</x:v>
      </x:c>
      <x:c r="B300" s="68" t="str">
        <x:v>2026-02-15</x:v>
      </x:c>
      <x:c r="C300" s="68" t="n">
        <x:v>10</x:v>
      </x:c>
      <x:c r="D300" s="68" t="n">
        <x:v>37</x:v>
      </x:c>
      <x:c r="E300" s="68" t="n">
        <x:v>21</x:v>
      </x:c>
      <x:c r="F300" s="68" t="n">
        <x:v>35</x:v>
      </x:c>
      <x:c r="G300" s="68" t="n">
        <x:v>56</x:v>
      </x:c>
      <x:c r="H300" s="82" t="n">
        <x:v>852.35001</x:v>
      </x:c>
      <x:c r="I300" s="82" t="n">
        <x:v>160.968482</x:v>
      </x:c>
      <x:c r="J300" s="82" t="n">
        <x:v>294.633169</x:v>
      </x:c>
      <x:c r="K300" s="68" t="n">
        <x:f>E300-D300</x:f>
        <x:v>-16</x:v>
      </x:c>
      <x:c r="L300" s="68" t="n">
        <x:f>ABS(K300)</x:f>
        <x:v>16</x:v>
      </x:c>
    </x:row>
    <x:row r="301" ht="22" customHeight="1">
      <x:c r="A301" s="68" t="str">
        <x:v>UP</x:v>
      </x:c>
      <x:c r="B301" s="68" t="str">
        <x:v>2026-02-15</x:v>
      </x:c>
      <x:c r="C301" s="68" t="n">
        <x:v>11</x:v>
      </x:c>
      <x:c r="D301" s="68" t="n">
        <x:v>38</x:v>
      </x:c>
      <x:c r="E301" s="68" t="n">
        <x:v>20</x:v>
      </x:c>
      <x:c r="F301" s="68" t="n">
        <x:v>44</x:v>
      </x:c>
      <x:c r="G301" s="68" t="n">
        <x:v>64</x:v>
      </x:c>
      <x:c r="H301" s="82" t="n">
        <x:v>953.55</x:v>
      </x:c>
      <x:c r="I301" s="82" t="n">
        <x:v>168.572957</x:v>
      </x:c>
      <x:c r="J301" s="82" t="n">
        <x:v>253.079168</x:v>
      </x:c>
      <x:c r="K301" s="68" t="n">
        <x:f>E301-D301</x:f>
        <x:v>-18</x:v>
      </x:c>
      <x:c r="L301" s="68" t="n">
        <x:f>ABS(K301)</x:f>
        <x:v>18</x:v>
      </x:c>
    </x:row>
    <x:row r="302" ht="22" customHeight="1">
      <x:c r="A302" s="68" t="str">
        <x:v>UP</x:v>
      </x:c>
      <x:c r="B302" s="68" t="str">
        <x:v>2026-02-15</x:v>
      </x:c>
      <x:c r="C302" s="68" t="n">
        <x:v>12</x:v>
      </x:c>
      <x:c r="D302" s="68" t="n">
        <x:v>42</x:v>
      </x:c>
      <x:c r="E302" s="68" t="n">
        <x:v>27</x:v>
      </x:c>
      <x:c r="F302" s="68" t="n">
        <x:v>57</x:v>
      </x:c>
      <x:c r="G302" s="68" t="n">
        <x:v>84</x:v>
      </x:c>
      <x:c r="H302" s="82" t="n">
        <x:v>1221.78335</x:v>
      </x:c>
      <x:c r="I302" s="82" t="n">
        <x:v>261.671144</x:v>
      </x:c>
      <x:c r="J302" s="82" t="n">
        <x:v>315.488424</x:v>
      </x:c>
      <x:c r="K302" s="68" t="n">
        <x:f>E302-D302</x:f>
        <x:v>-15</x:v>
      </x:c>
      <x:c r="L302" s="68" t="n">
        <x:f>ABS(K302)</x:f>
        <x:v>15</x:v>
      </x:c>
    </x:row>
    <x:row r="303" ht="22" customHeight="1">
      <x:c r="A303" s="68" t="str">
        <x:v>UP</x:v>
      </x:c>
      <x:c r="B303" s="68" t="str">
        <x:v>2026-02-15</x:v>
      </x:c>
      <x:c r="C303" s="68" t="n">
        <x:v>13</x:v>
      </x:c>
      <x:c r="D303" s="68" t="n">
        <x:v>49</x:v>
      </x:c>
      <x:c r="E303" s="68" t="n">
        <x:v>28</x:v>
      </x:c>
      <x:c r="F303" s="68" t="n">
        <x:v>63</x:v>
      </x:c>
      <x:c r="G303" s="68" t="n">
        <x:v>91</x:v>
      </x:c>
      <x:c r="H303" s="82" t="n">
        <x:v>1233.05</x:v>
      </x:c>
      <x:c r="I303" s="82" t="n">
        <x:v>213.388242</x:v>
      </x:c>
      <x:c r="J303" s="82" t="n">
        <x:v>412.54153</x:v>
      </x:c>
      <x:c r="K303" s="68" t="n">
        <x:f>E303-D303</x:f>
        <x:v>-21</x:v>
      </x:c>
      <x:c r="L303" s="68" t="n">
        <x:f>ABS(K303)</x:f>
        <x:v>21</x:v>
      </x:c>
    </x:row>
    <x:row r="304" ht="22" customHeight="1">
      <x:c r="A304" s="68" t="str">
        <x:v>UP</x:v>
      </x:c>
      <x:c r="B304" s="68" t="str">
        <x:v>2026-02-15</x:v>
      </x:c>
      <x:c r="C304" s="68" t="n">
        <x:v>14</x:v>
      </x:c>
      <x:c r="D304" s="68" t="n">
        <x:v>22</x:v>
      </x:c>
      <x:c r="E304" s="68" t="n">
        <x:v>35</x:v>
      </x:c>
      <x:c r="F304" s="68" t="n">
        <x:v>62</x:v>
      </x:c>
      <x:c r="G304" s="68" t="n">
        <x:v>97</x:v>
      </x:c>
      <x:c r="H304" s="82" t="n">
        <x:v>880.13332</x:v>
      </x:c>
      <x:c r="I304" s="82" t="n">
        <x:v>506.279787</x:v>
      </x:c>
      <x:c r="J304" s="82" t="n">
        <x:v>498.023013</x:v>
      </x:c>
      <x:c r="K304" s="68" t="n">
        <x:f>E304-D304</x:f>
        <x:v>13</x:v>
      </x:c>
      <x:c r="L304" s="68" t="n">
        <x:f>ABS(K304)</x:f>
        <x:v>13</x:v>
      </x:c>
    </x:row>
    <x:row r="305" ht="22" customHeight="1">
      <x:c r="A305" s="68" t="str">
        <x:v>UP</x:v>
      </x:c>
      <x:c r="B305" s="68" t="str">
        <x:v>2026-02-15</x:v>
      </x:c>
      <x:c r="C305" s="68" t="n">
        <x:v>15</x:v>
      </x:c>
      <x:c r="D305" s="68" t="n">
        <x:v>42</x:v>
      </x:c>
      <x:c r="E305" s="68" t="n">
        <x:v>32</x:v>
      </x:c>
      <x:c r="F305" s="68" t="n">
        <x:v>53</x:v>
      </x:c>
      <x:c r="G305" s="68" t="n">
        <x:v>85</x:v>
      </x:c>
      <x:c r="H305" s="82" t="n">
        <x:v>951.4</x:v>
      </x:c>
      <x:c r="I305" s="82" t="n">
        <x:v>354.836503</x:v>
      </x:c>
      <x:c r="J305" s="82" t="n">
        <x:v>479.481591</x:v>
      </x:c>
      <x:c r="K305" s="68" t="n">
        <x:f>E305-D305</x:f>
        <x:v>-10</x:v>
      </x:c>
      <x:c r="L305" s="68" t="n">
        <x:f>ABS(K305)</x:f>
        <x:v>10</x:v>
      </x:c>
    </x:row>
    <x:row r="306" ht="22" customHeight="1">
      <x:c r="A306" s="68" t="str">
        <x:v>UP</x:v>
      </x:c>
      <x:c r="B306" s="68" t="str">
        <x:v>2026-02-15</x:v>
      </x:c>
      <x:c r="C306" s="68" t="n">
        <x:v>16</x:v>
      </x:c>
      <x:c r="D306" s="68" t="n">
        <x:v>38</x:v>
      </x:c>
      <x:c r="E306" s="68" t="n">
        <x:v>31</x:v>
      </x:c>
      <x:c r="F306" s="68" t="n">
        <x:v>50</x:v>
      </x:c>
      <x:c r="G306" s="68" t="n">
        <x:v>81</x:v>
      </x:c>
      <x:c r="H306" s="82" t="n">
        <x:v>1016.88333</x:v>
      </x:c>
      <x:c r="I306" s="82" t="n">
        <x:v>382.2515</x:v>
      </x:c>
      <x:c r="J306" s="82" t="n">
        <x:v>360.957724</x:v>
      </x:c>
      <x:c r="K306" s="68" t="n">
        <x:f>E306-D306</x:f>
        <x:v>-7</x:v>
      </x:c>
      <x:c r="L306" s="68" t="n">
        <x:f>ABS(K306)</x:f>
        <x:v>7</x:v>
      </x:c>
    </x:row>
    <x:row r="307" ht="22" customHeight="1">
      <x:c r="A307" s="68" t="str">
        <x:v>UP</x:v>
      </x:c>
      <x:c r="B307" s="68" t="str">
        <x:v>2026-02-15</x:v>
      </x:c>
      <x:c r="C307" s="68" t="n">
        <x:v>17</x:v>
      </x:c>
      <x:c r="D307" s="68" t="n">
        <x:v>30</x:v>
      </x:c>
      <x:c r="E307" s="68" t="n">
        <x:v>29</x:v>
      </x:c>
      <x:c r="F307" s="68" t="n">
        <x:v>49</x:v>
      </x:c>
      <x:c r="G307" s="68" t="n">
        <x:v>78</x:v>
      </x:c>
      <x:c r="H307" s="82" t="n">
        <x:v>768.16666</x:v>
      </x:c>
      <x:c r="I307" s="82" t="n">
        <x:v>391.466907</x:v>
      </x:c>
      <x:c r="J307" s="82" t="n">
        <x:v>358.367417</x:v>
      </x:c>
      <x:c r="K307" s="68" t="n">
        <x:f>E307-D307</x:f>
        <x:v>-1</x:v>
      </x:c>
      <x:c r="L307" s="68" t="n">
        <x:f>ABS(K307)</x:f>
        <x:v>1</x:v>
      </x:c>
    </x:row>
    <x:row r="308" ht="22" customHeight="1">
      <x:c r="A308" s="68" t="str">
        <x:v>UP</x:v>
      </x:c>
      <x:c r="B308" s="68" t="str">
        <x:v>2026-02-15</x:v>
      </x:c>
      <x:c r="C308" s="68" t="n">
        <x:v>18</x:v>
      </x:c>
      <x:c r="D308" s="68" t="n">
        <x:v>37</x:v>
      </x:c>
      <x:c r="E308" s="68" t="n">
        <x:v>26</x:v>
      </x:c>
      <x:c r="F308" s="68" t="n">
        <x:v>50</x:v>
      </x:c>
      <x:c r="G308" s="68" t="n">
        <x:v>76</x:v>
      </x:c>
      <x:c r="H308" s="82" t="n">
        <x:v>823.48333</x:v>
      </x:c>
      <x:c r="I308" s="82" t="n">
        <x:v>326.355879</x:v>
      </x:c>
      <x:c r="J308" s="82" t="n">
        <x:v>383.268564</x:v>
      </x:c>
      <x:c r="K308" s="68" t="n">
        <x:f>E308-D308</x:f>
        <x:v>-11</x:v>
      </x:c>
      <x:c r="L308" s="68" t="n">
        <x:f>ABS(K308)</x:f>
        <x:v>11</x:v>
      </x:c>
    </x:row>
    <x:row r="309" ht="22" customHeight="1">
      <x:c r="A309" s="68" t="str">
        <x:v>UP</x:v>
      </x:c>
      <x:c r="B309" s="68" t="str">
        <x:v>2026-02-15</x:v>
      </x:c>
      <x:c r="C309" s="68" t="n">
        <x:v>19</x:v>
      </x:c>
      <x:c r="D309" s="68" t="n">
        <x:v>34</x:v>
      </x:c>
      <x:c r="E309" s="68" t="n">
        <x:v>16</x:v>
      </x:c>
      <x:c r="F309" s="68" t="n">
        <x:v>50</x:v>
      </x:c>
      <x:c r="G309" s="68" t="n">
        <x:v>66</x:v>
      </x:c>
      <x:c r="H309" s="82" t="n">
        <x:v>897.88332</x:v>
      </x:c>
      <x:c r="I309" s="82" t="n">
        <x:v>245.326644</x:v>
      </x:c>
      <x:c r="J309" s="82" t="n">
        <x:v>376.619492</x:v>
      </x:c>
      <x:c r="K309" s="68" t="n">
        <x:f>E309-D309</x:f>
        <x:v>-18</x:v>
      </x:c>
      <x:c r="L309" s="68" t="n">
        <x:f>ABS(K309)</x:f>
        <x:v>18</x:v>
      </x:c>
    </x:row>
    <x:row r="310" ht="22" customHeight="1">
      <x:c r="A310" s="68" t="str">
        <x:v>UP</x:v>
      </x:c>
      <x:c r="B310" s="68" t="str">
        <x:v>2026-02-15</x:v>
      </x:c>
      <x:c r="C310" s="68" t="n">
        <x:v>20</x:v>
      </x:c>
      <x:c r="D310" s="68" t="n">
        <x:v>22</x:v>
      </x:c>
      <x:c r="E310" s="68" t="n">
        <x:v>21</x:v>
      </x:c>
      <x:c r="F310" s="68" t="n">
        <x:v>42</x:v>
      </x:c>
      <x:c r="G310" s="68" t="n">
        <x:v>63</x:v>
      </x:c>
      <x:c r="H310" s="82" t="n">
        <x:v>611.54999</x:v>
      </x:c>
      <x:c r="I310" s="82" t="n">
        <x:v>288.247182</x:v>
      </x:c>
      <x:c r="J310" s="82" t="n">
        <x:v>359.768259</x:v>
      </x:c>
      <x:c r="K310" s="68" t="n">
        <x:f>E310-D310</x:f>
        <x:v>-1</x:v>
      </x:c>
      <x:c r="L310" s="68" t="n">
        <x:f>ABS(K310)</x:f>
        <x:v>1</x:v>
      </x:c>
    </x:row>
    <x:row r="311" ht="22" customHeight="1">
      <x:c r="A311" s="68" t="str">
        <x:v>UP</x:v>
      </x:c>
      <x:c r="B311" s="68" t="str">
        <x:v>2026-02-15</x:v>
      </x:c>
      <x:c r="C311" s="68" t="n">
        <x:v>21</x:v>
      </x:c>
      <x:c r="D311" s="68" t="n">
        <x:v>36</x:v>
      </x:c>
      <x:c r="E311" s="68" t="n">
        <x:v>25</x:v>
      </x:c>
      <x:c r="F311" s="68" t="n">
        <x:v>32</x:v>
      </x:c>
      <x:c r="G311" s="68" t="n">
        <x:v>57</x:v>
      </x:c>
      <x:c r="H311" s="82" t="n">
        <x:v>758.39998</x:v>
      </x:c>
      <x:c r="I311" s="82" t="n">
        <x:v>244.15875</x:v>
      </x:c>
      <x:c r="J311" s="82" t="n">
        <x:v>189.115</x:v>
      </x:c>
      <x:c r="K311" s="68" t="n">
        <x:f>E311-D311</x:f>
        <x:v>-11</x:v>
      </x:c>
      <x:c r="L311" s="68" t="n">
        <x:f>ABS(K311)</x:f>
        <x:v>11</x:v>
      </x:c>
    </x:row>
    <x:row r="312" ht="22" customHeight="1">
      <x:c r="A312" s="68" t="str">
        <x:v>UP</x:v>
      </x:c>
      <x:c r="B312" s="68" t="str">
        <x:v>2026-02-15</x:v>
      </x:c>
      <x:c r="C312" s="68" t="n">
        <x:v>22</x:v>
      </x:c>
      <x:c r="D312" s="68" t="n">
        <x:v>23</x:v>
      </x:c>
      <x:c r="E312" s="68" t="n">
        <x:v>25</x:v>
      </x:c>
      <x:c r="F312" s="68" t="n">
        <x:v>38</x:v>
      </x:c>
      <x:c r="G312" s="68" t="n">
        <x:v>63</x:v>
      </x:c>
      <x:c r="H312" s="82" t="n">
        <x:v>588.86667</x:v>
      </x:c>
      <x:c r="I312" s="82" t="n">
        <x:v>312.588287</x:v>
      </x:c>
      <x:c r="J312" s="82" t="n">
        <x:v>205.306481</x:v>
      </x:c>
      <x:c r="K312" s="68" t="n">
        <x:f>E312-D312</x:f>
        <x:v>2</x:v>
      </x:c>
      <x:c r="L312" s="68" t="n">
        <x:f>ABS(K312)</x:f>
        <x:v>2</x:v>
      </x:c>
    </x:row>
    <x:row r="313" ht="22" customHeight="1">
      <x:c r="A313" s="68" t="str">
        <x:v>UP</x:v>
      </x:c>
      <x:c r="B313" s="68" t="str">
        <x:v>2026-02-15</x:v>
      </x:c>
      <x:c r="C313" s="68" t="n">
        <x:v>23</x:v>
      </x:c>
      <x:c r="D313" s="68" t="n">
        <x:v>17</x:v>
      </x:c>
      <x:c r="E313" s="68" t="n">
        <x:v>12</x:v>
      </x:c>
      <x:c r="F313" s="68" t="n">
        <x:v>25</x:v>
      </x:c>
      <x:c r="G313" s="68" t="n">
        <x:v>37</x:v>
      </x:c>
      <x:c r="H313" s="82" t="n">
        <x:v>445.10001</x:v>
      </x:c>
      <x:c r="I313" s="82" t="n">
        <x:v>180.707126</x:v>
      </x:c>
      <x:c r="J313" s="82" t="n">
        <x:v>109.103256</x:v>
      </x:c>
      <x:c r="K313" s="68" t="n">
        <x:f>E313-D313</x:f>
        <x:v>-5</x:v>
      </x:c>
      <x:c r="L313" s="68" t="n">
        <x:f>ABS(K313)</x:f>
        <x:v>5</x:v>
      </x:c>
    </x:row>
    <x:row r="314" ht="22" customHeight="1">
      <x:c r="A314" s="68" t="str">
        <x:v>UP</x:v>
      </x:c>
      <x:c r="B314" s="68" t="str">
        <x:v>2026-02-16</x:v>
      </x:c>
      <x:c r="C314" s="68" t="n">
        <x:v>0</x:v>
      </x:c>
      <x:c r="D314" s="68" t="n">
        <x:v>14</x:v>
      </x:c>
      <x:c r="E314" s="68" t="n">
        <x:v>4</x:v>
      </x:c>
      <x:c r="F314" s="68" t="n">
        <x:v>9</x:v>
      </x:c>
      <x:c r="G314" s="68" t="n">
        <x:v>13</x:v>
      </x:c>
      <x:c r="H314" s="82" t="n">
        <x:v>263.35</x:v>
      </x:c>
      <x:c r="I314" s="82" t="n">
        <x:v>11.594947</x:v>
      </x:c>
      <x:c r="J314" s="82" t="n">
        <x:v>35.767587</x:v>
      </x:c>
      <x:c r="K314" s="68" t="n">
        <x:f>E314-D314</x:f>
        <x:v>-10</x:v>
      </x:c>
      <x:c r="L314" s="68" t="n">
        <x:f>ABS(K314)</x:f>
        <x:v>10</x:v>
      </x:c>
    </x:row>
    <x:row r="315" ht="22" customHeight="1">
      <x:c r="A315" s="68" t="str">
        <x:v>UP</x:v>
      </x:c>
      <x:c r="B315" s="68" t="str">
        <x:v>2026-02-16</x:v>
      </x:c>
      <x:c r="C315" s="68" t="n">
        <x:v>1</x:v>
      </x:c>
      <x:c r="D315" s="68" t="n">
        <x:v>7</x:v>
      </x:c>
      <x:c r="E315" s="68" t="n">
        <x:v>4</x:v>
      </x:c>
      <x:c r="F315" s="68" t="n">
        <x:v>11</x:v>
      </x:c>
      <x:c r="G315" s="68" t="n">
        <x:v>15</x:v>
      </x:c>
      <x:c r="H315" s="82" t="n">
        <x:v>257.25</x:v>
      </x:c>
      <x:c r="I315" s="82" t="n">
        <x:v>30.823026</x:v>
      </x:c>
      <x:c r="J315" s="82" t="n">
        <x:v>73.342848</x:v>
      </x:c>
      <x:c r="K315" s="68" t="n">
        <x:f>E315-D315</x:f>
        <x:v>-3</x:v>
      </x:c>
      <x:c r="L315" s="68" t="n">
        <x:f>ABS(K315)</x:f>
        <x:v>3</x:v>
      </x:c>
    </x:row>
    <x:row r="316" ht="22" customHeight="1">
      <x:c r="A316" s="68" t="str">
        <x:v>UP</x:v>
      </x:c>
      <x:c r="B316" s="68" t="str">
        <x:v>2026-02-16</x:v>
      </x:c>
      <x:c r="C316" s="68" t="n">
        <x:v>2</x:v>
      </x:c>
      <x:c r="D316" s="68" t="n">
        <x:v>4</x:v>
      </x:c>
      <x:c r="E316" s="68" t="n">
        <x:v>6</x:v>
      </x:c>
      <x:c r="F316" s="68" t="n">
        <x:v>5</x:v>
      </x:c>
      <x:c r="G316" s="68" t="n">
        <x:v>11</x:v>
      </x:c>
      <x:c r="H316" s="82" t="n">
        <x:v>163.16667</x:v>
      </x:c>
      <x:c r="I316" s="82" t="n">
        <x:v>97.946528</x:v>
      </x:c>
      <x:c r="J316" s="82" t="n">
        <x:v>21.335083</x:v>
      </x:c>
      <x:c r="K316" s="68" t="n">
        <x:f>E316-D316</x:f>
        <x:v>2</x:v>
      </x:c>
      <x:c r="L316" s="68" t="n">
        <x:f>ABS(K316)</x:f>
        <x:v>2</x:v>
      </x:c>
    </x:row>
    <x:row r="317" ht="22" customHeight="1">
      <x:c r="A317" s="68" t="str">
        <x:v>UP</x:v>
      </x:c>
      <x:c r="B317" s="68" t="str">
        <x:v>2026-02-16</x:v>
      </x:c>
      <x:c r="C317" s="68" t="n">
        <x:v>3</x:v>
      </x:c>
      <x:c r="D317" s="68" t="n">
        <x:v>3</x:v>
      </x:c>
      <x:c r="E317" s="68" t="n">
        <x:v>6</x:v>
      </x:c>
      <x:c r="F317" s="68" t="n">
        <x:v>2</x:v>
      </x:c>
      <x:c r="G317" s="68" t="n">
        <x:v>8</x:v>
      </x:c>
      <x:c r="H317" s="82" t="n">
        <x:v>79.08334</x:v>
      </x:c>
      <x:c r="I317" s="82" t="n">
        <x:v>69.649852</x:v>
      </x:c>
      <x:c r="J317" s="82" t="n">
        <x:v>2.053166</x:v>
      </x:c>
      <x:c r="K317" s="68" t="n">
        <x:f>E317-D317</x:f>
        <x:v>3</x:v>
      </x:c>
      <x:c r="L317" s="68" t="n">
        <x:f>ABS(K317)</x:f>
        <x:v>3</x:v>
      </x:c>
    </x:row>
    <x:row r="318" ht="22" customHeight="1">
      <x:c r="A318" s="68" t="str">
        <x:v>UP</x:v>
      </x:c>
      <x:c r="B318" s="68" t="str">
        <x:v>2026-02-16</x:v>
      </x:c>
      <x:c r="C318" s="68" t="n">
        <x:v>4</x:v>
      </x:c>
      <x:c r="D318" s="68" t="n">
        <x:v>4</x:v>
      </x:c>
      <x:c r="E318" s="68" t="n">
        <x:v>6</x:v>
      </x:c>
      <x:c r="F318" s="68" t="n">
        <x:v>5</x:v>
      </x:c>
      <x:c r="G318" s="68" t="n">
        <x:v>11</x:v>
      </x:c>
      <x:c r="H318" s="82" t="n">
        <x:v>108.28333</x:v>
      </x:c>
      <x:c r="I318" s="82" t="n">
        <x:v>75.965698</x:v>
      </x:c>
      <x:c r="J318" s="82" t="n">
        <x:v>39.575938</x:v>
      </x:c>
      <x:c r="K318" s="68" t="n">
        <x:f>E318-D318</x:f>
        <x:v>2</x:v>
      </x:c>
      <x:c r="L318" s="68" t="n">
        <x:f>ABS(K318)</x:f>
        <x:v>2</x:v>
      </x:c>
    </x:row>
    <x:row r="319" ht="22" customHeight="1">
      <x:c r="A319" s="68" t="str">
        <x:v>UP</x:v>
      </x:c>
      <x:c r="B319" s="68" t="str">
        <x:v>2026-02-16</x:v>
      </x:c>
      <x:c r="C319" s="68" t="n">
        <x:v>5</x:v>
      </x:c>
      <x:c r="D319" s="68" t="n">
        <x:v>7</x:v>
      </x:c>
      <x:c r="E319" s="68" t="n">
        <x:v>7</x:v>
      </x:c>
      <x:c r="F319" s="68" t="n">
        <x:v>8</x:v>
      </x:c>
      <x:c r="G319" s="68" t="n">
        <x:v>15</x:v>
      </x:c>
      <x:c r="H319" s="82" t="n">
        <x:v>130.23334</x:v>
      </x:c>
      <x:c r="I319" s="82" t="n">
        <x:v>70.61573</x:v>
      </x:c>
      <x:c r="J319" s="82" t="n">
        <x:v>75.523273</x:v>
      </x:c>
      <x:c r="K319" s="68" t="n">
        <x:f>E319-D319</x:f>
        <x:v>0</x:v>
      </x:c>
      <x:c r="L319" s="68" t="n">
        <x:f>ABS(K319)</x:f>
        <x:v>0</x:v>
      </x:c>
    </x:row>
    <x:row r="320" ht="22" customHeight="1">
      <x:c r="A320" s="68" t="str">
        <x:v>UP</x:v>
      </x:c>
      <x:c r="B320" s="68" t="str">
        <x:v>2026-02-16</x:v>
      </x:c>
      <x:c r="C320" s="68" t="n">
        <x:v>6</x:v>
      </x:c>
      <x:c r="D320" s="68" t="n">
        <x:v>9</x:v>
      </x:c>
      <x:c r="E320" s="68" t="n">
        <x:v>12</x:v>
      </x:c>
      <x:c r="F320" s="68" t="n">
        <x:v>11</x:v>
      </x:c>
      <x:c r="G320" s="68" t="n">
        <x:v>23</x:v>
      </x:c>
      <x:c r="H320" s="82" t="n">
        <x:v>302.88333</x:v>
      </x:c>
      <x:c r="I320" s="82" t="n">
        <x:v>87.756507</x:v>
      </x:c>
      <x:c r="J320" s="82" t="n">
        <x:v>54.672242</x:v>
      </x:c>
      <x:c r="K320" s="68" t="n">
        <x:f>E320-D320</x:f>
        <x:v>3</x:v>
      </x:c>
      <x:c r="L320" s="68" t="n">
        <x:f>ABS(K320)</x:f>
        <x:v>3</x:v>
      </x:c>
    </x:row>
    <x:row r="321" ht="22" customHeight="1">
      <x:c r="A321" s="68" t="str">
        <x:v>UP</x:v>
      </x:c>
      <x:c r="B321" s="68" t="str">
        <x:v>2026-02-16</x:v>
      </x:c>
      <x:c r="C321" s="68" t="n">
        <x:v>7</x:v>
      </x:c>
      <x:c r="D321" s="68" t="n">
        <x:v>16</x:v>
      </x:c>
      <x:c r="E321" s="68" t="n">
        <x:v>6</x:v>
      </x:c>
      <x:c r="F321" s="68" t="n">
        <x:v>15</x:v>
      </x:c>
      <x:c r="G321" s="68" t="n">
        <x:v>21</x:v>
      </x:c>
      <x:c r="H321" s="82" t="n">
        <x:v>325.01667</x:v>
      </x:c>
      <x:c r="I321" s="82" t="n">
        <x:v>76.013275</x:v>
      </x:c>
      <x:c r="J321" s="82" t="n">
        <x:v>45.050459</x:v>
      </x:c>
      <x:c r="K321" s="68" t="n">
        <x:f>E321-D321</x:f>
        <x:v>-10</x:v>
      </x:c>
      <x:c r="L321" s="68" t="n">
        <x:f>ABS(K321)</x:f>
        <x:v>10</x:v>
      </x:c>
    </x:row>
    <x:row r="322" ht="22" customHeight="1">
      <x:c r="A322" s="68" t="str">
        <x:v>UP</x:v>
      </x:c>
      <x:c r="B322" s="68" t="str">
        <x:v>2026-02-16</x:v>
      </x:c>
      <x:c r="C322" s="68" t="n">
        <x:v>8</x:v>
      </x:c>
      <x:c r="D322" s="68" t="n">
        <x:v>23</x:v>
      </x:c>
      <x:c r="E322" s="68" t="n">
        <x:v>10</x:v>
      </x:c>
      <x:c r="F322" s="68" t="n">
        <x:v>28</x:v>
      </x:c>
      <x:c r="G322" s="68" t="n">
        <x:v>38</x:v>
      </x:c>
      <x:c r="H322" s="82" t="n">
        <x:v>466.54999</x:v>
      </x:c>
      <x:c r="I322" s="82" t="n">
        <x:v>102.643019</x:v>
      </x:c>
      <x:c r="J322" s="82" t="n">
        <x:v>202.650736</x:v>
      </x:c>
      <x:c r="K322" s="68" t="n">
        <x:f>E322-D322</x:f>
        <x:v>-13</x:v>
      </x:c>
      <x:c r="L322" s="68" t="n">
        <x:f>ABS(K322)</x:f>
        <x:v>13</x:v>
      </x:c>
    </x:row>
    <x:row r="323" ht="22" customHeight="1">
      <x:c r="A323" s="68" t="str">
        <x:v>UP</x:v>
      </x:c>
      <x:c r="B323" s="68" t="str">
        <x:v>2026-02-16</x:v>
      </x:c>
      <x:c r="C323" s="68" t="n">
        <x:v>9</x:v>
      </x:c>
      <x:c r="D323" s="68" t="n">
        <x:v>37</x:v>
      </x:c>
      <x:c r="E323" s="68" t="n">
        <x:v>13</x:v>
      </x:c>
      <x:c r="F323" s="68" t="n">
        <x:v>23</x:v>
      </x:c>
      <x:c r="G323" s="68" t="n">
        <x:v>36</x:v>
      </x:c>
      <x:c r="H323" s="82" t="n">
        <x:v>988.29999</x:v>
      </x:c>
      <x:c r="I323" s="82" t="n">
        <x:v>118.936603</x:v>
      </x:c>
      <x:c r="J323" s="82" t="n">
        <x:v>110.845731</x:v>
      </x:c>
      <x:c r="K323" s="68" t="n">
        <x:f>E323-D323</x:f>
        <x:v>-24</x:v>
      </x:c>
      <x:c r="L323" s="68" t="n">
        <x:f>ABS(K323)</x:f>
        <x:v>24</x:v>
      </x:c>
    </x:row>
    <x:row r="324" ht="22" customHeight="1">
      <x:c r="A324" s="68" t="str">
        <x:v>UP</x:v>
      </x:c>
      <x:c r="B324" s="68" t="str">
        <x:v>2026-02-16</x:v>
      </x:c>
      <x:c r="C324" s="68" t="n">
        <x:v>10</x:v>
      </x:c>
      <x:c r="D324" s="68" t="n">
        <x:v>34</x:v>
      </x:c>
      <x:c r="E324" s="68" t="n">
        <x:v>20</x:v>
      </x:c>
      <x:c r="F324" s="68" t="n">
        <x:v>66</x:v>
      </x:c>
      <x:c r="G324" s="68" t="n">
        <x:v>86</x:v>
      </x:c>
      <x:c r="H324" s="82" t="n">
        <x:v>903.51668</x:v>
      </x:c>
      <x:c r="I324" s="82" t="n">
        <x:v>183.997878</x:v>
      </x:c>
      <x:c r="J324" s="82" t="n">
        <x:v>419.503472</x:v>
      </x:c>
      <x:c r="K324" s="68" t="n">
        <x:f>E324-D324</x:f>
        <x:v>-14</x:v>
      </x:c>
      <x:c r="L324" s="68" t="n">
        <x:f>ABS(K324)</x:f>
        <x:v>14</x:v>
      </x:c>
    </x:row>
    <x:row r="325" ht="22" customHeight="1">
      <x:c r="A325" s="68" t="str">
        <x:v>UP</x:v>
      </x:c>
      <x:c r="B325" s="68" t="str">
        <x:v>2026-02-16</x:v>
      </x:c>
      <x:c r="C325" s="68" t="n">
        <x:v>11</x:v>
      </x:c>
      <x:c r="D325" s="68" t="n">
        <x:v>50</x:v>
      </x:c>
      <x:c r="E325" s="68" t="n">
        <x:v>28</x:v>
      </x:c>
      <x:c r="F325" s="68" t="n">
        <x:v>56</x:v>
      </x:c>
      <x:c r="G325" s="68" t="n">
        <x:v>84</x:v>
      </x:c>
      <x:c r="H325" s="82" t="n">
        <x:v>1353.13334</x:v>
      </x:c>
      <x:c r="I325" s="82" t="n">
        <x:v>469.994149</x:v>
      </x:c>
      <x:c r="J325" s="82" t="n">
        <x:v>380.650314</x:v>
      </x:c>
      <x:c r="K325" s="68" t="n">
        <x:f>E325-D325</x:f>
        <x:v>-22</x:v>
      </x:c>
      <x:c r="L325" s="68" t="n">
        <x:f>ABS(K325)</x:f>
        <x:v>22</x:v>
      </x:c>
    </x:row>
    <x:row r="326" ht="22" customHeight="1">
      <x:c r="A326" s="68" t="str">
        <x:v>UP</x:v>
      </x:c>
      <x:c r="B326" s="68" t="str">
        <x:v>2026-02-16</x:v>
      </x:c>
      <x:c r="C326" s="68" t="n">
        <x:v>12</x:v>
      </x:c>
      <x:c r="D326" s="68" t="n">
        <x:v>52</x:v>
      </x:c>
      <x:c r="E326" s="68" t="n">
        <x:v>27</x:v>
      </x:c>
      <x:c r="F326" s="68" t="n">
        <x:v>74</x:v>
      </x:c>
      <x:c r="G326" s="68" t="n">
        <x:v>101</x:v>
      </x:c>
      <x:c r="H326" s="82" t="n">
        <x:v>1275.61666</x:v>
      </x:c>
      <x:c r="I326" s="82" t="n">
        <x:v>491.338883</x:v>
      </x:c>
      <x:c r="J326" s="82" t="n">
        <x:v>549.847616</x:v>
      </x:c>
      <x:c r="K326" s="68" t="n">
        <x:f>E326-D326</x:f>
        <x:v>-25</x:v>
      </x:c>
      <x:c r="L326" s="68" t="n">
        <x:f>ABS(K326)</x:f>
        <x:v>25</x:v>
      </x:c>
    </x:row>
    <x:row r="327" ht="22" customHeight="1">
      <x:c r="A327" s="68" t="str">
        <x:v>UP</x:v>
      </x:c>
      <x:c r="B327" s="68" t="str">
        <x:v>2026-02-16</x:v>
      </x:c>
      <x:c r="C327" s="68" t="n">
        <x:v>13</x:v>
      </x:c>
      <x:c r="D327" s="68" t="n">
        <x:v>55</x:v>
      </x:c>
      <x:c r="E327" s="68" t="n">
        <x:v>40</x:v>
      </x:c>
      <x:c r="F327" s="68" t="n">
        <x:v>72</x:v>
      </x:c>
      <x:c r="G327" s="68" t="n">
        <x:v>112</x:v>
      </x:c>
      <x:c r="H327" s="82" t="n">
        <x:v>1524.63332</x:v>
      </x:c>
      <x:c r="I327" s="82" t="n">
        <x:v>407.273149</x:v>
      </x:c>
      <x:c r="J327" s="82" t="n">
        <x:v>661.588284</x:v>
      </x:c>
      <x:c r="K327" s="68" t="n">
        <x:f>E327-D327</x:f>
        <x:v>-15</x:v>
      </x:c>
      <x:c r="L327" s="68" t="n">
        <x:f>ABS(K327)</x:f>
        <x:v>15</x:v>
      </x:c>
    </x:row>
    <x:row r="328" ht="22" customHeight="1">
      <x:c r="A328" s="68" t="str">
        <x:v>UP</x:v>
      </x:c>
      <x:c r="B328" s="68" t="str">
        <x:v>2026-02-16</x:v>
      </x:c>
      <x:c r="C328" s="68" t="n">
        <x:v>14</x:v>
      </x:c>
      <x:c r="D328" s="68" t="n">
        <x:v>53</x:v>
      </x:c>
      <x:c r="E328" s="68" t="n">
        <x:v>37</x:v>
      </x:c>
      <x:c r="F328" s="68" t="n">
        <x:v>72</x:v>
      </x:c>
      <x:c r="G328" s="68" t="n">
        <x:v>109</x:v>
      </x:c>
      <x:c r="H328" s="82" t="n">
        <x:v>1525.21666</x:v>
      </x:c>
      <x:c r="I328" s="82" t="n">
        <x:v>555.525619</x:v>
      </x:c>
      <x:c r="J328" s="82" t="n">
        <x:v>529.837808</x:v>
      </x:c>
      <x:c r="K328" s="68" t="n">
        <x:f>E328-D328</x:f>
        <x:v>-16</x:v>
      </x:c>
      <x:c r="L328" s="68" t="n">
        <x:f>ABS(K328)</x:f>
        <x:v>16</x:v>
      </x:c>
    </x:row>
    <x:row r="329" ht="22" customHeight="1">
      <x:c r="A329" s="68" t="str">
        <x:v>UP</x:v>
      </x:c>
      <x:c r="B329" s="68" t="str">
        <x:v>2026-02-16</x:v>
      </x:c>
      <x:c r="C329" s="68" t="n">
        <x:v>15</x:v>
      </x:c>
      <x:c r="D329" s="68" t="n">
        <x:v>47</x:v>
      </x:c>
      <x:c r="E329" s="68" t="n">
        <x:v>31</x:v>
      </x:c>
      <x:c r="F329" s="68" t="n">
        <x:v>63</x:v>
      </x:c>
      <x:c r="G329" s="68" t="n">
        <x:v>94</x:v>
      </x:c>
      <x:c r="H329" s="82" t="n">
        <x:v>1465.41668</x:v>
      </x:c>
      <x:c r="I329" s="82" t="n">
        <x:v>480.861652</x:v>
      </x:c>
      <x:c r="J329" s="82" t="n">
        <x:v>480.04806</x:v>
      </x:c>
      <x:c r="K329" s="68" t="n">
        <x:f>E329-D329</x:f>
        <x:v>-16</x:v>
      </x:c>
      <x:c r="L329" s="68" t="n">
        <x:f>ABS(K329)</x:f>
        <x:v>16</x:v>
      </x:c>
    </x:row>
    <x:row r="330" ht="22" customHeight="1">
      <x:c r="A330" s="68" t="str">
        <x:v>UP</x:v>
      </x:c>
      <x:c r="B330" s="68" t="str">
        <x:v>2026-02-16</x:v>
      </x:c>
      <x:c r="C330" s="68" t="n">
        <x:v>16</x:v>
      </x:c>
      <x:c r="D330" s="68" t="n">
        <x:v>72</x:v>
      </x:c>
      <x:c r="E330" s="68" t="n">
        <x:v>36</x:v>
      </x:c>
      <x:c r="F330" s="68" t="n">
        <x:v>53</x:v>
      </x:c>
      <x:c r="G330" s="68" t="n">
        <x:v>89</x:v>
      </x:c>
      <x:c r="H330" s="82" t="n">
        <x:v>1587.21666</x:v>
      </x:c>
      <x:c r="I330" s="82" t="n">
        <x:v>489.512561</x:v>
      </x:c>
      <x:c r="J330" s="82" t="n">
        <x:v>461.750145</x:v>
      </x:c>
      <x:c r="K330" s="68" t="n">
        <x:f>E330-D330</x:f>
        <x:v>-36</x:v>
      </x:c>
      <x:c r="L330" s="68" t="n">
        <x:f>ABS(K330)</x:f>
        <x:v>36</x:v>
      </x:c>
    </x:row>
    <x:row r="331" ht="22" customHeight="1">
      <x:c r="A331" s="68" t="str">
        <x:v>UP</x:v>
      </x:c>
      <x:c r="B331" s="68" t="str">
        <x:v>2026-02-16</x:v>
      </x:c>
      <x:c r="C331" s="68" t="n">
        <x:v>17</x:v>
      </x:c>
      <x:c r="D331" s="68" t="n">
        <x:v>43</x:v>
      </x:c>
      <x:c r="E331" s="68" t="n">
        <x:v>28</x:v>
      </x:c>
      <x:c r="F331" s="68" t="n">
        <x:v>51</x:v>
      </x:c>
      <x:c r="G331" s="68" t="n">
        <x:v>79</x:v>
      </x:c>
      <x:c r="H331" s="82" t="n">
        <x:v>1124.10001</x:v>
      </x:c>
      <x:c r="I331" s="82" t="n">
        <x:v>392.833451</x:v>
      </x:c>
      <x:c r="J331" s="82" t="n">
        <x:v>375.302174</x:v>
      </x:c>
      <x:c r="K331" s="68" t="n">
        <x:f>E331-D331</x:f>
        <x:v>-15</x:v>
      </x:c>
      <x:c r="L331" s="68" t="n">
        <x:f>ABS(K331)</x:f>
        <x:v>15</x:v>
      </x:c>
    </x:row>
    <x:row r="332" ht="22" customHeight="1">
      <x:c r="A332" s="68" t="str">
        <x:v>UP</x:v>
      </x:c>
      <x:c r="B332" s="68" t="str">
        <x:v>2026-02-16</x:v>
      </x:c>
      <x:c r="C332" s="68" t="n">
        <x:v>18</x:v>
      </x:c>
      <x:c r="D332" s="68" t="n">
        <x:v>44</x:v>
      </x:c>
      <x:c r="E332" s="68" t="n">
        <x:v>32</x:v>
      </x:c>
      <x:c r="F332" s="68" t="n">
        <x:v>62</x:v>
      </x:c>
      <x:c r="G332" s="68" t="n">
        <x:v>94</x:v>
      </x:c>
      <x:c r="H332" s="82" t="n">
        <x:v>1156.40001</x:v>
      </x:c>
      <x:c r="I332" s="82" t="n">
        <x:v>552.360463</x:v>
      </x:c>
      <x:c r="J332" s="82" t="n">
        <x:v>406.419939</x:v>
      </x:c>
      <x:c r="K332" s="68" t="n">
        <x:f>E332-D332</x:f>
        <x:v>-12</x:v>
      </x:c>
      <x:c r="L332" s="68" t="n">
        <x:f>ABS(K332)</x:f>
        <x:v>12</x:v>
      </x:c>
    </x:row>
    <x:row r="333" ht="22" customHeight="1">
      <x:c r="A333" s="68" t="str">
        <x:v>UP</x:v>
      </x:c>
      <x:c r="B333" s="68" t="str">
        <x:v>2026-02-16</x:v>
      </x:c>
      <x:c r="C333" s="68" t="n">
        <x:v>19</x:v>
      </x:c>
      <x:c r="D333" s="68" t="n">
        <x:v>28</x:v>
      </x:c>
      <x:c r="E333" s="68" t="n">
        <x:v>25</x:v>
      </x:c>
      <x:c r="F333" s="68" t="n">
        <x:v>37</x:v>
      </x:c>
      <x:c r="G333" s="68" t="n">
        <x:v>62</x:v>
      </x:c>
      <x:c r="H333" s="82" t="n">
        <x:v>884.38333</x:v>
      </x:c>
      <x:c r="I333" s="82" t="n">
        <x:v>343.031754</x:v>
      </x:c>
      <x:c r="J333" s="82" t="n">
        <x:v>233.063647</x:v>
      </x:c>
      <x:c r="K333" s="68" t="n">
        <x:f>E333-D333</x:f>
        <x:v>-3</x:v>
      </x:c>
      <x:c r="L333" s="68" t="n">
        <x:f>ABS(K333)</x:f>
        <x:v>3</x:v>
      </x:c>
    </x:row>
    <x:row r="334" ht="22" customHeight="1">
      <x:c r="A334" s="68" t="str">
        <x:v>UP</x:v>
      </x:c>
      <x:c r="B334" s="68" t="str">
        <x:v>2026-02-16</x:v>
      </x:c>
      <x:c r="C334" s="68" t="n">
        <x:v>20</x:v>
      </x:c>
      <x:c r="D334" s="68" t="n">
        <x:v>34</x:v>
      </x:c>
      <x:c r="E334" s="68" t="n">
        <x:v>26</x:v>
      </x:c>
      <x:c r="F334" s="68" t="n">
        <x:v>32</x:v>
      </x:c>
      <x:c r="G334" s="68" t="n">
        <x:v>58</x:v>
      </x:c>
      <x:c r="H334" s="82" t="n">
        <x:v>796.96665</x:v>
      </x:c>
      <x:c r="I334" s="82" t="n">
        <x:v>249.516732</x:v>
      </x:c>
      <x:c r="J334" s="82" t="n">
        <x:v>228.926032</x:v>
      </x:c>
      <x:c r="K334" s="68" t="n">
        <x:f>E334-D334</x:f>
        <x:v>-8</x:v>
      </x:c>
      <x:c r="L334" s="68" t="n">
        <x:f>ABS(K334)</x:f>
        <x:v>8</x:v>
      </x:c>
    </x:row>
    <x:row r="335" ht="22" customHeight="1">
      <x:c r="A335" s="68" t="str">
        <x:v>UP</x:v>
      </x:c>
      <x:c r="B335" s="68" t="str">
        <x:v>2026-02-16</x:v>
      </x:c>
      <x:c r="C335" s="68" t="n">
        <x:v>21</x:v>
      </x:c>
      <x:c r="D335" s="68" t="n">
        <x:v>33</x:v>
      </x:c>
      <x:c r="E335" s="68" t="n">
        <x:v>28</x:v>
      </x:c>
      <x:c r="F335" s="68" t="n">
        <x:v>36</x:v>
      </x:c>
      <x:c r="G335" s="68" t="n">
        <x:v>64</x:v>
      </x:c>
      <x:c r="H335" s="82" t="n">
        <x:v>824.73333</x:v>
      </x:c>
      <x:c r="I335" s="82" t="n">
        <x:v>285.695369</x:v>
      </x:c>
      <x:c r="J335" s="82" t="n">
        <x:v>262.183449</x:v>
      </x:c>
      <x:c r="K335" s="68" t="n">
        <x:f>E335-D335</x:f>
        <x:v>-5</x:v>
      </x:c>
      <x:c r="L335" s="68" t="n">
        <x:f>ABS(K335)</x:f>
        <x:v>5</x:v>
      </x:c>
    </x:row>
    <x:row r="336" ht="22" customHeight="1">
      <x:c r="A336" s="68" t="str">
        <x:v>UP</x:v>
      </x:c>
      <x:c r="B336" s="68" t="str">
        <x:v>2026-02-16</x:v>
      </x:c>
      <x:c r="C336" s="68" t="n">
        <x:v>22</x:v>
      </x:c>
      <x:c r="D336" s="68" t="n">
        <x:v>33</x:v>
      </x:c>
      <x:c r="E336" s="68" t="n">
        <x:v>23</x:v>
      </x:c>
      <x:c r="F336" s="68" t="n">
        <x:v>36</x:v>
      </x:c>
      <x:c r="G336" s="68" t="n">
        <x:v>59</x:v>
      </x:c>
      <x:c r="H336" s="82" t="n">
        <x:v>790.66667</x:v>
      </x:c>
      <x:c r="I336" s="82" t="n">
        <x:v>383.388358</x:v>
      </x:c>
      <x:c r="J336" s="82" t="n">
        <x:v>241.291635</x:v>
      </x:c>
      <x:c r="K336" s="68" t="n">
        <x:f>E336-D336</x:f>
        <x:v>-10</x:v>
      </x:c>
      <x:c r="L336" s="68" t="n">
        <x:f>ABS(K336)</x:f>
        <x:v>10</x:v>
      </x:c>
    </x:row>
    <x:row r="337" ht="22" customHeight="1">
      <x:c r="A337" s="68" t="str">
        <x:v>UP</x:v>
      </x:c>
      <x:c r="B337" s="68" t="str">
        <x:v>2026-02-16</x:v>
      </x:c>
      <x:c r="C337" s="68" t="n">
        <x:v>23</x:v>
      </x:c>
      <x:c r="D337" s="68" t="n">
        <x:v>22</x:v>
      </x:c>
      <x:c r="E337" s="68" t="n">
        <x:v>22</x:v>
      </x:c>
      <x:c r="F337" s="68" t="n">
        <x:v>27</x:v>
      </x:c>
      <x:c r="G337" s="68" t="n">
        <x:v>49</x:v>
      </x:c>
      <x:c r="H337" s="82" t="n">
        <x:v>622.06667</x:v>
      </x:c>
      <x:c r="I337" s="82" t="n">
        <x:v>227.970215</x:v>
      </x:c>
      <x:c r="J337" s="82" t="n">
        <x:v>157.442292</x:v>
      </x:c>
      <x:c r="K337" s="68" t="n">
        <x:f>E337-D337</x:f>
        <x:v>0</x:v>
      </x:c>
      <x:c r="L337" s="68" t="n">
        <x:f>ABS(K337)</x:f>
        <x:v>0</x:v>
      </x:c>
    </x:row>
    <x:row r="338" ht="22" customHeight="1">
      <x:c r="A338" s="68" t="str">
        <x:v>UP</x:v>
      </x:c>
      <x:c r="B338" s="68" t="str">
        <x:v>2026-02-17</x:v>
      </x:c>
      <x:c r="C338" s="68" t="n">
        <x:v>0</x:v>
      </x:c>
      <x:c r="D338" s="68" t="n">
        <x:v>17</x:v>
      </x:c>
      <x:c r="E338" s="68" t="n">
        <x:v>4</x:v>
      </x:c>
      <x:c r="F338" s="68" t="n">
        <x:v>10</x:v>
      </x:c>
      <x:c r="G338" s="68" t="n">
        <x:v>14</x:v>
      </x:c>
      <x:c r="H338" s="82" t="n">
        <x:v>429.78335</x:v>
      </x:c>
      <x:c r="I338" s="82" t="n">
        <x:v>13.997514</x:v>
      </x:c>
      <x:c r="J338" s="82" t="n">
        <x:v>45.931826</x:v>
      </x:c>
      <x:c r="K338" s="68" t="n">
        <x:f>E338-D338</x:f>
        <x:v>-13</x:v>
      </x:c>
      <x:c r="L338" s="68" t="n">
        <x:f>ABS(K338)</x:f>
        <x:v>13</x:v>
      </x:c>
    </x:row>
    <x:row r="339" ht="22" customHeight="1">
      <x:c r="A339" s="68" t="str">
        <x:v>UP</x:v>
      </x:c>
      <x:c r="B339" s="68" t="str">
        <x:v>2026-02-17</x:v>
      </x:c>
      <x:c r="C339" s="68" t="n">
        <x:v>1</x:v>
      </x:c>
      <x:c r="D339" s="68" t="n">
        <x:v>18</x:v>
      </x:c>
      <x:c r="E339" s="68" t="n">
        <x:v>7</x:v>
      </x:c>
      <x:c r="F339" s="68" t="n">
        <x:v>12</x:v>
      </x:c>
      <x:c r="G339" s="68" t="n">
        <x:v>19</x:v>
      </x:c>
      <x:c r="H339" s="82" t="n">
        <x:v>466.41668</x:v>
      </x:c>
      <x:c r="I339" s="82" t="n">
        <x:v>95.517528</x:v>
      </x:c>
      <x:c r="J339" s="82" t="n">
        <x:v>27.740691</x:v>
      </x:c>
      <x:c r="K339" s="68" t="n">
        <x:f>E339-D339</x:f>
        <x:v>-11</x:v>
      </x:c>
      <x:c r="L339" s="68" t="n">
        <x:f>ABS(K339)</x:f>
        <x:v>11</x:v>
      </x:c>
    </x:row>
    <x:row r="340" ht="22" customHeight="1">
      <x:c r="A340" s="68" t="str">
        <x:v>UP</x:v>
      </x:c>
      <x:c r="B340" s="68" t="str">
        <x:v>2026-02-17</x:v>
      </x:c>
      <x:c r="C340" s="68" t="n">
        <x:v>2</x:v>
      </x:c>
      <x:c r="D340" s="68" t="n">
        <x:v>11</x:v>
      </x:c>
      <x:c r="E340" s="68" t="n">
        <x:v>7</x:v>
      </x:c>
      <x:c r="F340" s="68" t="n">
        <x:v>11</x:v>
      </x:c>
      <x:c r="G340" s="68" t="n">
        <x:v>18</x:v>
      </x:c>
      <x:c r="H340" s="82" t="n">
        <x:v>394.23334</x:v>
      </x:c>
      <x:c r="I340" s="82" t="n">
        <x:v>71.638391</x:v>
      </x:c>
      <x:c r="J340" s="82" t="n">
        <x:v>51.445814</x:v>
      </x:c>
      <x:c r="K340" s="68" t="n">
        <x:f>E340-D340</x:f>
        <x:v>-4</x:v>
      </x:c>
      <x:c r="L340" s="68" t="n">
        <x:f>ABS(K340)</x:f>
        <x:v>4</x:v>
      </x:c>
    </x:row>
    <x:row r="341" ht="22" customHeight="1">
      <x:c r="A341" s="68" t="str">
        <x:v>UP</x:v>
      </x:c>
      <x:c r="B341" s="68" t="str">
        <x:v>2026-02-17</x:v>
      </x:c>
      <x:c r="C341" s="68" t="n">
        <x:v>3</x:v>
      </x:c>
      <x:c r="D341" s="68" t="n">
        <x:v>11</x:v>
      </x:c>
      <x:c r="E341" s="68" t="n">
        <x:v>5</x:v>
      </x:c>
      <x:c r="F341" s="68" t="n">
        <x:v>5</x:v>
      </x:c>
      <x:c r="G341" s="68" t="n">
        <x:v>10</x:v>
      </x:c>
      <x:c r="H341" s="82" t="n">
        <x:v>307.81665</x:v>
      </x:c>
      <x:c r="I341" s="82" t="n">
        <x:v>58.672926</x:v>
      </x:c>
      <x:c r="J341" s="82" t="n">
        <x:v>23.640848</x:v>
      </x:c>
      <x:c r="K341" s="68" t="n">
        <x:f>E341-D341</x:f>
        <x:v>-6</x:v>
      </x:c>
      <x:c r="L341" s="68" t="n">
        <x:f>ABS(K341)</x:f>
        <x:v>6</x:v>
      </x:c>
    </x:row>
    <x:row r="342" ht="22" customHeight="1">
      <x:c r="A342" s="68" t="str">
        <x:v>UP</x:v>
      </x:c>
      <x:c r="B342" s="68" t="str">
        <x:v>2026-02-17</x:v>
      </x:c>
      <x:c r="C342" s="68" t="n">
        <x:v>4</x:v>
      </x:c>
      <x:c r="D342" s="68" t="n">
        <x:v>5</x:v>
      </x:c>
      <x:c r="E342" s="68" t="n">
        <x:v>2</x:v>
      </x:c>
      <x:c r="F342" s="68" t="n">
        <x:v>5</x:v>
      </x:c>
      <x:c r="G342" s="68" t="n">
        <x:v>7</x:v>
      </x:c>
      <x:c r="H342" s="82" t="n">
        <x:v>223.8</x:v>
      </x:c>
      <x:c r="I342" s="82" t="n">
        <x:v>21.835312</x:v>
      </x:c>
      <x:c r="J342" s="82" t="n">
        <x:v>13.569732</x:v>
      </x:c>
      <x:c r="K342" s="68" t="n">
        <x:f>E342-D342</x:f>
        <x:v>-3</x:v>
      </x:c>
      <x:c r="L342" s="68" t="n">
        <x:f>ABS(K342)</x:f>
        <x:v>3</x:v>
      </x:c>
    </x:row>
    <x:row r="343" ht="22" customHeight="1">
      <x:c r="A343" s="68" t="str">
        <x:v>UP</x:v>
      </x:c>
      <x:c r="B343" s="68" t="str">
        <x:v>2026-02-17</x:v>
      </x:c>
      <x:c r="C343" s="68" t="n">
        <x:v>5</x:v>
      </x:c>
      <x:c r="D343" s="68" t="n">
        <x:v>10</x:v>
      </x:c>
      <x:c r="E343" s="68" t="n">
        <x:v>9</x:v>
      </x:c>
      <x:c r="F343" s="68" t="n">
        <x:v>4</x:v>
      </x:c>
      <x:c r="G343" s="68" t="n">
        <x:v>13</x:v>
      </x:c>
      <x:c r="H343" s="82" t="n">
        <x:v>220.66668</x:v>
      </x:c>
      <x:c r="I343" s="82" t="n">
        <x:v>79.951578</x:v>
      </x:c>
      <x:c r="J343" s="82" t="n">
        <x:v>23.197138</x:v>
      </x:c>
      <x:c r="K343" s="68" t="n">
        <x:f>E343-D343</x:f>
        <x:v>-1</x:v>
      </x:c>
      <x:c r="L343" s="68" t="n">
        <x:f>ABS(K343)</x:f>
        <x:v>1</x:v>
      </x:c>
    </x:row>
    <x:row r="344" ht="22" customHeight="1">
      <x:c r="A344" s="68" t="str">
        <x:v>UP</x:v>
      </x:c>
      <x:c r="B344" s="68" t="str">
        <x:v>2026-02-17</x:v>
      </x:c>
      <x:c r="C344" s="68" t="n">
        <x:v>6</x:v>
      </x:c>
      <x:c r="D344" s="68" t="n">
        <x:v>12</x:v>
      </x:c>
      <x:c r="E344" s="68" t="n">
        <x:v>18</x:v>
      </x:c>
      <x:c r="F344" s="68" t="n">
        <x:v>14</x:v>
      </x:c>
      <x:c r="G344" s="68" t="n">
        <x:v>32</x:v>
      </x:c>
      <x:c r="H344" s="82" t="n">
        <x:v>291.53334</x:v>
      </x:c>
      <x:c r="I344" s="82" t="n">
        <x:v>100.511478</x:v>
      </x:c>
      <x:c r="J344" s="82" t="n">
        <x:v>50.29753</x:v>
      </x:c>
      <x:c r="K344" s="68" t="n">
        <x:f>E344-D344</x:f>
        <x:v>6</x:v>
      </x:c>
      <x:c r="L344" s="68" t="n">
        <x:f>ABS(K344)</x:f>
        <x:v>6</x:v>
      </x:c>
    </x:row>
    <x:row r="345" ht="22" customHeight="1">
      <x:c r="A345" s="68" t="str">
        <x:v>UP</x:v>
      </x:c>
      <x:c r="B345" s="68" t="str">
        <x:v>2026-02-17</x:v>
      </x:c>
      <x:c r="C345" s="68" t="n">
        <x:v>7</x:v>
      </x:c>
      <x:c r="D345" s="68" t="n">
        <x:v>25</x:v>
      </x:c>
      <x:c r="E345" s="68" t="n">
        <x:v>19</x:v>
      </x:c>
      <x:c r="F345" s="68" t="n">
        <x:v>34</x:v>
      </x:c>
      <x:c r="G345" s="68" t="n">
        <x:v>53</x:v>
      </x:c>
      <x:c r="H345" s="82" t="n">
        <x:v>615.68334</x:v>
      </x:c>
      <x:c r="I345" s="82" t="n">
        <x:v>236.212048</x:v>
      </x:c>
      <x:c r="J345" s="82" t="n">
        <x:v>212.45941</x:v>
      </x:c>
      <x:c r="K345" s="68" t="n">
        <x:f>E345-D345</x:f>
        <x:v>-6</x:v>
      </x:c>
      <x:c r="L345" s="68" t="n">
        <x:f>ABS(K345)</x:f>
        <x:v>6</x:v>
      </x:c>
    </x:row>
    <x:row r="346" ht="22" customHeight="1">
      <x:c r="A346" s="68" t="str">
        <x:v>UP</x:v>
      </x:c>
      <x:c r="B346" s="68" t="str">
        <x:v>2026-02-17</x:v>
      </x:c>
      <x:c r="C346" s="68" t="n">
        <x:v>8</x:v>
      </x:c>
      <x:c r="D346" s="68" t="n">
        <x:v>38</x:v>
      </x:c>
      <x:c r="E346" s="68" t="n">
        <x:v>24</x:v>
      </x:c>
      <x:c r="F346" s="68" t="n">
        <x:v>41</x:v>
      </x:c>
      <x:c r="G346" s="68" t="n">
        <x:v>65</x:v>
      </x:c>
      <x:c r="H346" s="82" t="n">
        <x:v>797.48335</x:v>
      </x:c>
      <x:c r="I346" s="82" t="n">
        <x:v>294.27552</x:v>
      </x:c>
      <x:c r="J346" s="82" t="n">
        <x:v>291.255953</x:v>
      </x:c>
      <x:c r="K346" s="68" t="n">
        <x:f>E346-D346</x:f>
        <x:v>-14</x:v>
      </x:c>
      <x:c r="L346" s="68" t="n">
        <x:f>ABS(K346)</x:f>
        <x:v>14</x:v>
      </x:c>
    </x:row>
    <x:row r="347" ht="22" customHeight="1">
      <x:c r="A347" s="68" t="str">
        <x:v>UP</x:v>
      </x:c>
      <x:c r="B347" s="68" t="str">
        <x:v>2026-02-17</x:v>
      </x:c>
      <x:c r="C347" s="68" t="n">
        <x:v>9</x:v>
      </x:c>
      <x:c r="D347" s="68" t="n">
        <x:v>35</x:v>
      </x:c>
      <x:c r="E347" s="68" t="n">
        <x:v>22</x:v>
      </x:c>
      <x:c r="F347" s="68" t="n">
        <x:v>46</x:v>
      </x:c>
      <x:c r="G347" s="68" t="n">
        <x:v>68</x:v>
      </x:c>
      <x:c r="H347" s="82" t="n">
        <x:v>954.1</x:v>
      </x:c>
      <x:c r="I347" s="82" t="n">
        <x:v>325.411757</x:v>
      </x:c>
      <x:c r="J347" s="82" t="n">
        <x:v>350.206316</x:v>
      </x:c>
      <x:c r="K347" s="68" t="n">
        <x:f>E347-D347</x:f>
        <x:v>-13</x:v>
      </x:c>
      <x:c r="L347" s="68" t="n">
        <x:f>ABS(K347)</x:f>
        <x:v>13</x:v>
      </x:c>
    </x:row>
    <x:row r="348" ht="22" customHeight="1">
      <x:c r="A348" s="68" t="str">
        <x:v>UP</x:v>
      </x:c>
      <x:c r="B348" s="68" t="str">
        <x:v>2026-02-17</x:v>
      </x:c>
      <x:c r="C348" s="68" t="n">
        <x:v>10</x:v>
      </x:c>
      <x:c r="D348" s="68" t="n">
        <x:v>32</x:v>
      </x:c>
      <x:c r="E348" s="68" t="n">
        <x:v>22</x:v>
      </x:c>
      <x:c r="F348" s="68" t="n">
        <x:v>58</x:v>
      </x:c>
      <x:c r="G348" s="68" t="n">
        <x:v>80</x:v>
      </x:c>
      <x:c r="H348" s="82" t="n">
        <x:v>812.39999</x:v>
      </x:c>
      <x:c r="I348" s="82" t="n">
        <x:v>230.341028</x:v>
      </x:c>
      <x:c r="J348" s="82" t="n">
        <x:v>357.880009</x:v>
      </x:c>
      <x:c r="K348" s="68" t="n">
        <x:f>E348-D348</x:f>
        <x:v>-10</x:v>
      </x:c>
      <x:c r="L348" s="68" t="n">
        <x:f>ABS(K348)</x:f>
        <x:v>10</x:v>
      </x:c>
    </x:row>
    <x:row r="349" ht="22" customHeight="1">
      <x:c r="A349" s="68" t="str">
        <x:v>UP</x:v>
      </x:c>
      <x:c r="B349" s="68" t="str">
        <x:v>2026-02-17</x:v>
      </x:c>
      <x:c r="C349" s="68" t="n">
        <x:v>11</x:v>
      </x:c>
      <x:c r="D349" s="68" t="n">
        <x:v>46</x:v>
      </x:c>
      <x:c r="E349" s="68" t="n">
        <x:v>33</x:v>
      </x:c>
      <x:c r="F349" s="68" t="n">
        <x:v>57</x:v>
      </x:c>
      <x:c r="G349" s="68" t="n">
        <x:v>90</x:v>
      </x:c>
      <x:c r="H349" s="82" t="n">
        <x:v>1158.00002</x:v>
      </x:c>
      <x:c r="I349" s="82" t="n">
        <x:v>400.702516</x:v>
      </x:c>
      <x:c r="J349" s="82" t="n">
        <x:v>453.680941</x:v>
      </x:c>
      <x:c r="K349" s="68" t="n">
        <x:f>E349-D349</x:f>
        <x:v>-13</x:v>
      </x:c>
      <x:c r="L349" s="68" t="n">
        <x:f>ABS(K349)</x:f>
        <x:v>13</x:v>
      </x:c>
    </x:row>
    <x:row r="350" ht="22" customHeight="1">
      <x:c r="A350" s="68" t="str">
        <x:v>UP</x:v>
      </x:c>
      <x:c r="B350" s="68" t="str">
        <x:v>2026-02-17</x:v>
      </x:c>
      <x:c r="C350" s="68" t="n">
        <x:v>12</x:v>
      </x:c>
      <x:c r="D350" s="68" t="n">
        <x:v>54</x:v>
      </x:c>
      <x:c r="E350" s="68" t="n">
        <x:v>25</x:v>
      </x:c>
      <x:c r="F350" s="68" t="n">
        <x:v>74</x:v>
      </x:c>
      <x:c r="G350" s="68" t="n">
        <x:v>99</x:v>
      </x:c>
      <x:c r="H350" s="82" t="n">
        <x:v>1366</x:v>
      </x:c>
      <x:c r="I350" s="82" t="n">
        <x:v>386.471311</x:v>
      </x:c>
      <x:c r="J350" s="82" t="n">
        <x:v>514.82682</x:v>
      </x:c>
      <x:c r="K350" s="68" t="n">
        <x:f>E350-D350</x:f>
        <x:v>-29</x:v>
      </x:c>
      <x:c r="L350" s="68" t="n">
        <x:f>ABS(K350)</x:f>
        <x:v>29</x:v>
      </x:c>
    </x:row>
    <x:row r="351" ht="22" customHeight="1">
      <x:c r="A351" s="68" t="str">
        <x:v>UP</x:v>
      </x:c>
      <x:c r="B351" s="68" t="str">
        <x:v>2026-02-17</x:v>
      </x:c>
      <x:c r="C351" s="68" t="n">
        <x:v>13</x:v>
      </x:c>
      <x:c r="D351" s="68" t="n">
        <x:v>64</x:v>
      </x:c>
      <x:c r="E351" s="68" t="n">
        <x:v>39</x:v>
      </x:c>
      <x:c r="F351" s="68" t="n">
        <x:v>80</x:v>
      </x:c>
      <x:c r="G351" s="68" t="n">
        <x:v>119</x:v>
      </x:c>
      <x:c r="H351" s="82" t="n">
        <x:v>1611.08333</x:v>
      </x:c>
      <x:c r="I351" s="82" t="n">
        <x:v>464.803373</x:v>
      </x:c>
      <x:c r="J351" s="82" t="n">
        <x:v>784.913506</x:v>
      </x:c>
      <x:c r="K351" s="68" t="n">
        <x:f>E351-D351</x:f>
        <x:v>-25</x:v>
      </x:c>
      <x:c r="L351" s="68" t="n">
        <x:f>ABS(K351)</x:f>
        <x:v>25</x:v>
      </x:c>
    </x:row>
    <x:row r="352" ht="22" customHeight="1">
      <x:c r="A352" s="68" t="str">
        <x:v>UP</x:v>
      </x:c>
      <x:c r="B352" s="68" t="str">
        <x:v>2026-02-17</x:v>
      </x:c>
      <x:c r="C352" s="68" t="n">
        <x:v>14</x:v>
      </x:c>
      <x:c r="D352" s="68" t="n">
        <x:v>67</x:v>
      </x:c>
      <x:c r="E352" s="68" t="n">
        <x:v>47</x:v>
      </x:c>
      <x:c r="F352" s="68" t="n">
        <x:v>77</x:v>
      </x:c>
      <x:c r="G352" s="68" t="n">
        <x:v>124</x:v>
      </x:c>
      <x:c r="H352" s="82" t="n">
        <x:v>1595.18334</x:v>
      </x:c>
      <x:c r="I352" s="82" t="n">
        <x:v>626.536965</x:v>
      </x:c>
      <x:c r="J352" s="82" t="n">
        <x:v>715.667285</x:v>
      </x:c>
      <x:c r="K352" s="68" t="n">
        <x:f>E352-D352</x:f>
        <x:v>-20</x:v>
      </x:c>
      <x:c r="L352" s="68" t="n">
        <x:f>ABS(K352)</x:f>
        <x:v>20</x:v>
      </x:c>
    </x:row>
    <x:row r="353" ht="22" customHeight="1">
      <x:c r="A353" s="68" t="str">
        <x:v>UP</x:v>
      </x:c>
      <x:c r="B353" s="68" t="str">
        <x:v>2026-02-17</x:v>
      </x:c>
      <x:c r="C353" s="68" t="n">
        <x:v>15</x:v>
      </x:c>
      <x:c r="D353" s="68" t="n">
        <x:v>69</x:v>
      </x:c>
      <x:c r="E353" s="68" t="n">
        <x:v>47</x:v>
      </x:c>
      <x:c r="F353" s="68" t="n">
        <x:v>79</x:v>
      </x:c>
      <x:c r="G353" s="68" t="n">
        <x:v>126</x:v>
      </x:c>
      <x:c r="H353" s="82" t="n">
        <x:v>1788.61668</x:v>
      </x:c>
      <x:c r="I353" s="82" t="n">
        <x:v>660.989448</x:v>
      </x:c>
      <x:c r="J353" s="82" t="n">
        <x:v>821.485008</x:v>
      </x:c>
      <x:c r="K353" s="68" t="n">
        <x:f>E353-D353</x:f>
        <x:v>-22</x:v>
      </x:c>
      <x:c r="L353" s="68" t="n">
        <x:f>ABS(K353)</x:f>
        <x:v>22</x:v>
      </x:c>
    </x:row>
    <x:row r="354" ht="22" customHeight="1">
      <x:c r="A354" s="68" t="str">
        <x:v>UP</x:v>
      </x:c>
      <x:c r="B354" s="68" t="str">
        <x:v>2026-02-17</x:v>
      </x:c>
      <x:c r="C354" s="68" t="n">
        <x:v>16</x:v>
      </x:c>
      <x:c r="D354" s="68" t="n">
        <x:v>67</x:v>
      </x:c>
      <x:c r="E354" s="68" t="n">
        <x:v>39</x:v>
      </x:c>
      <x:c r="F354" s="68" t="n">
        <x:v>78</x:v>
      </x:c>
      <x:c r="G354" s="68" t="n">
        <x:v>117</x:v>
      </x:c>
      <x:c r="H354" s="82" t="n">
        <x:v>1831.45</x:v>
      </x:c>
      <x:c r="I354" s="82" t="n">
        <x:v>592.409063</x:v>
      </x:c>
      <x:c r="J354" s="82" t="n">
        <x:v>728.188185</x:v>
      </x:c>
      <x:c r="K354" s="68" t="n">
        <x:f>E354-D354</x:f>
        <x:v>-28</x:v>
      </x:c>
      <x:c r="L354" s="68" t="n">
        <x:f>ABS(K354)</x:f>
        <x:v>28</x:v>
      </x:c>
    </x:row>
    <x:row r="355" ht="22" customHeight="1">
      <x:c r="A355" s="68" t="str">
        <x:v>UP</x:v>
      </x:c>
      <x:c r="B355" s="68" t="str">
        <x:v>2026-02-17</x:v>
      </x:c>
      <x:c r="C355" s="68" t="n">
        <x:v>17</x:v>
      </x:c>
      <x:c r="D355" s="68" t="n">
        <x:v>58</x:v>
      </x:c>
      <x:c r="E355" s="68" t="n">
        <x:v>50</x:v>
      </x:c>
      <x:c r="F355" s="68" t="n">
        <x:v>72</x:v>
      </x:c>
      <x:c r="G355" s="68" t="n">
        <x:v>122</x:v>
      </x:c>
      <x:c r="H355" s="82" t="n">
        <x:v>1472.53334</x:v>
      </x:c>
      <x:c r="I355" s="82" t="n">
        <x:v>638.114335</x:v>
      </x:c>
      <x:c r="J355" s="82" t="n">
        <x:v>552.36374</x:v>
      </x:c>
      <x:c r="K355" s="68" t="n">
        <x:f>E355-D355</x:f>
        <x:v>-8</x:v>
      </x:c>
      <x:c r="L355" s="68" t="n">
        <x:f>ABS(K355)</x:f>
        <x:v>8</x:v>
      </x:c>
    </x:row>
    <x:row r="356" ht="22" customHeight="1">
      <x:c r="A356" s="68" t="str">
        <x:v>UP</x:v>
      </x:c>
      <x:c r="B356" s="68" t="str">
        <x:v>2026-02-17</x:v>
      </x:c>
      <x:c r="C356" s="68" t="n">
        <x:v>18</x:v>
      </x:c>
      <x:c r="D356" s="68" t="n">
        <x:v>51</x:v>
      </x:c>
      <x:c r="E356" s="68" t="n">
        <x:v>28</x:v>
      </x:c>
      <x:c r="F356" s="68" t="n">
        <x:v>71</x:v>
      </x:c>
      <x:c r="G356" s="68" t="n">
        <x:v>99</x:v>
      </x:c>
      <x:c r="H356" s="82" t="n">
        <x:v>1309.35</x:v>
      </x:c>
      <x:c r="I356" s="82" t="n">
        <x:v>461.209063</x:v>
      </x:c>
      <x:c r="J356" s="82" t="n">
        <x:v>600.617789</x:v>
      </x:c>
      <x:c r="K356" s="68" t="n">
        <x:f>E356-D356</x:f>
        <x:v>-23</x:v>
      </x:c>
      <x:c r="L356" s="68" t="n">
        <x:f>ABS(K356)</x:f>
        <x:v>23</x:v>
      </x:c>
    </x:row>
    <x:row r="357" ht="22" customHeight="1">
      <x:c r="A357" s="68" t="str">
        <x:v>UP</x:v>
      </x:c>
      <x:c r="B357" s="68" t="str">
        <x:v>2026-02-17</x:v>
      </x:c>
      <x:c r="C357" s="68" t="n">
        <x:v>19</x:v>
      </x:c>
      <x:c r="D357" s="68" t="n">
        <x:v>53</x:v>
      </x:c>
      <x:c r="E357" s="68" t="n">
        <x:v>38</x:v>
      </x:c>
      <x:c r="F357" s="68" t="n">
        <x:v>50</x:v>
      </x:c>
      <x:c r="G357" s="68" t="n">
        <x:v>88</x:v>
      </x:c>
      <x:c r="H357" s="82" t="n">
        <x:v>1352.45</x:v>
      </x:c>
      <x:c r="I357" s="82" t="n">
        <x:v>522.480734</x:v>
      </x:c>
      <x:c r="J357" s="82" t="n">
        <x:v>481.99398</x:v>
      </x:c>
      <x:c r="K357" s="68" t="n">
        <x:f>E357-D357</x:f>
        <x:v>-15</x:v>
      </x:c>
      <x:c r="L357" s="68" t="n">
        <x:f>ABS(K357)</x:f>
        <x:v>15</x:v>
      </x:c>
    </x:row>
    <x:row r="358" ht="22" customHeight="1">
      <x:c r="A358" s="68" t="str">
        <x:v>UP</x:v>
      </x:c>
      <x:c r="B358" s="68" t="str">
        <x:v>2026-02-17</x:v>
      </x:c>
      <x:c r="C358" s="68" t="n">
        <x:v>20</x:v>
      </x:c>
      <x:c r="D358" s="68" t="n">
        <x:v>36</x:v>
      </x:c>
      <x:c r="E358" s="68" t="n">
        <x:v>36</x:v>
      </x:c>
      <x:c r="F358" s="68" t="n">
        <x:v>57</x:v>
      </x:c>
      <x:c r="G358" s="68" t="n">
        <x:v>93</x:v>
      </x:c>
      <x:c r="H358" s="82" t="n">
        <x:v>1152.86666</x:v>
      </x:c>
      <x:c r="I358" s="82" t="n">
        <x:v>415.441655</x:v>
      </x:c>
      <x:c r="J358" s="82" t="n">
        <x:v>555.383954</x:v>
      </x:c>
      <x:c r="K358" s="68" t="n">
        <x:f>E358-D358</x:f>
        <x:v>0</x:v>
      </x:c>
      <x:c r="L358" s="68" t="n">
        <x:f>ABS(K358)</x:f>
        <x:v>0</x:v>
      </x:c>
    </x:row>
    <x:row r="359" ht="22" customHeight="1">
      <x:c r="A359" s="68" t="str">
        <x:v>UP</x:v>
      </x:c>
      <x:c r="B359" s="68" t="str">
        <x:v>2026-02-17</x:v>
      </x:c>
      <x:c r="C359" s="68" t="n">
        <x:v>21</x:v>
      </x:c>
      <x:c r="D359" s="68" t="n">
        <x:v>54</x:v>
      </x:c>
      <x:c r="E359" s="68" t="n">
        <x:v>34</x:v>
      </x:c>
      <x:c r="F359" s="68" t="n">
        <x:v>55</x:v>
      </x:c>
      <x:c r="G359" s="68" t="n">
        <x:v>89</x:v>
      </x:c>
      <x:c r="H359" s="82" t="n">
        <x:v>1284.18332</x:v>
      </x:c>
      <x:c r="I359" s="82" t="n">
        <x:v>520.003142</x:v>
      </x:c>
      <x:c r="J359" s="82" t="n">
        <x:v>335.562341</x:v>
      </x:c>
      <x:c r="K359" s="68" t="n">
        <x:f>E359-D359</x:f>
        <x:v>-20</x:v>
      </x:c>
      <x:c r="L359" s="68" t="n">
        <x:f>ABS(K359)</x:f>
        <x:v>20</x:v>
      </x:c>
    </x:row>
    <x:row r="360" ht="22" customHeight="1">
      <x:c r="A360" s="68" t="str">
        <x:v>UP</x:v>
      </x:c>
      <x:c r="B360" s="68" t="str">
        <x:v>2026-02-17</x:v>
      </x:c>
      <x:c r="C360" s="68" t="n">
        <x:v>22</x:v>
      </x:c>
      <x:c r="D360" s="68" t="n">
        <x:v>51</x:v>
      </x:c>
      <x:c r="E360" s="68" t="n">
        <x:v>32</x:v>
      </x:c>
      <x:c r="F360" s="68" t="n">
        <x:v>61</x:v>
      </x:c>
      <x:c r="G360" s="68" t="n">
        <x:v>93</x:v>
      </x:c>
      <x:c r="H360" s="82" t="n">
        <x:v>1248.40001</x:v>
      </x:c>
      <x:c r="I360" s="82" t="n">
        <x:v>456.887756</x:v>
      </x:c>
      <x:c r="J360" s="82" t="n">
        <x:v>424.34609</x:v>
      </x:c>
      <x:c r="K360" s="68" t="n">
        <x:f>E360-D360</x:f>
        <x:v>-19</x:v>
      </x:c>
      <x:c r="L360" s="68" t="n">
        <x:f>ABS(K360)</x:f>
        <x:v>19</x:v>
      </x:c>
    </x:row>
    <x:row r="361" ht="22" customHeight="1">
      <x:c r="A361" s="68" t="str">
        <x:v>UP</x:v>
      </x:c>
      <x:c r="B361" s="68" t="str">
        <x:v>2026-02-17</x:v>
      </x:c>
      <x:c r="C361" s="68" t="n">
        <x:v>23</x:v>
      </x:c>
      <x:c r="D361" s="68" t="n">
        <x:v>46</x:v>
      </x:c>
      <x:c r="E361" s="68" t="n">
        <x:v>27</x:v>
      </x:c>
      <x:c r="F361" s="68" t="n">
        <x:v>34</x:v>
      </x:c>
      <x:c r="G361" s="68" t="n">
        <x:v>61</x:v>
      </x:c>
      <x:c r="H361" s="82" t="n">
        <x:v>1112.41666</x:v>
      </x:c>
      <x:c r="I361" s="82" t="n">
        <x:v>426.313895</x:v>
      </x:c>
      <x:c r="J361" s="82" t="n">
        <x:v>270.172573</x:v>
      </x:c>
      <x:c r="K361" s="68" t="n">
        <x:f>E361-D361</x:f>
        <x:v>-19</x:v>
      </x:c>
      <x:c r="L361" s="68" t="n">
        <x:f>ABS(K361)</x:f>
        <x:v>19</x:v>
      </x:c>
    </x:row>
    <x:row r="362" ht="22" customHeight="1">
      <x:c r="A362" s="68" t="str">
        <x:v>UP</x:v>
      </x:c>
      <x:c r="B362" s="68" t="str">
        <x:v>2026-02-18</x:v>
      </x:c>
      <x:c r="C362" s="68" t="n">
        <x:v>0</x:v>
      </x:c>
      <x:c r="D362" s="68" t="n">
        <x:v>43</x:v>
      </x:c>
      <x:c r="E362" s="68" t="n">
        <x:v>13</x:v>
      </x:c>
      <x:c r="F362" s="68" t="n">
        <x:v>12</x:v>
      </x:c>
      <x:c r="G362" s="68" t="n">
        <x:v>25</x:v>
      </x:c>
      <x:c r="H362" s="82" t="n">
        <x:v>1090.15</x:v>
      </x:c>
      <x:c r="I362" s="82" t="n">
        <x:v>87.844834</x:v>
      </x:c>
      <x:c r="J362" s="82" t="n">
        <x:v>43.315793</x:v>
      </x:c>
      <x:c r="K362" s="68" t="n">
        <x:f>E362-D362</x:f>
        <x:v>-30</x:v>
      </x:c>
      <x:c r="L362" s="68" t="n">
        <x:f>ABS(K362)</x:f>
        <x:v>30</x:v>
      </x:c>
    </x:row>
    <x:row r="363" ht="22" customHeight="1">
      <x:c r="A363" s="68" t="str">
        <x:v>UP</x:v>
      </x:c>
      <x:c r="B363" s="68" t="str">
        <x:v>2026-02-18</x:v>
      </x:c>
      <x:c r="C363" s="68" t="n">
        <x:v>1</x:v>
      </x:c>
      <x:c r="D363" s="68" t="n">
        <x:v>24</x:v>
      </x:c>
      <x:c r="E363" s="68" t="n">
        <x:v>26</x:v>
      </x:c>
      <x:c r="F363" s="68" t="n">
        <x:v>25</x:v>
      </x:c>
      <x:c r="G363" s="68" t="n">
        <x:v>51</x:v>
      </x:c>
      <x:c r="H363" s="82" t="n">
        <x:v>849.66666</x:v>
      </x:c>
      <x:c r="I363" s="82" t="n">
        <x:v>221.479131</x:v>
      </x:c>
      <x:c r="J363" s="82" t="n">
        <x:v>122.672488</x:v>
      </x:c>
      <x:c r="K363" s="68" t="n">
        <x:f>E363-D363</x:f>
        <x:v>2</x:v>
      </x:c>
      <x:c r="L363" s="68" t="n">
        <x:f>ABS(K363)</x:f>
        <x:v>2</x:v>
      </x:c>
    </x:row>
    <x:row r="364" ht="22" customHeight="1">
      <x:c r="A364" s="68" t="str">
        <x:v>UP</x:v>
      </x:c>
      <x:c r="B364" s="68" t="str">
        <x:v>2026-02-18</x:v>
      </x:c>
      <x:c r="C364" s="68" t="n">
        <x:v>2</x:v>
      </x:c>
      <x:c r="D364" s="68" t="n">
        <x:v>35</x:v>
      </x:c>
      <x:c r="E364" s="68" t="n">
        <x:v>16</x:v>
      </x:c>
      <x:c r="F364" s="68" t="n">
        <x:v>33</x:v>
      </x:c>
      <x:c r="G364" s="68" t="n">
        <x:v>49</x:v>
      </x:c>
      <x:c r="H364" s="82" t="n">
        <x:v>776.55001</x:v>
      </x:c>
      <x:c r="I364" s="82" t="n">
        <x:v>203.89435</x:v>
      </x:c>
      <x:c r="J364" s="82" t="n">
        <x:v>230.450235</x:v>
      </x:c>
      <x:c r="K364" s="68" t="n">
        <x:f>E364-D364</x:f>
        <x:v>-19</x:v>
      </x:c>
      <x:c r="L364" s="68" t="n">
        <x:f>ABS(K364)</x:f>
        <x:v>19</x:v>
      </x:c>
    </x:row>
    <x:row r="365" ht="22" customHeight="1">
      <x:c r="A365" s="68" t="str">
        <x:v>UP</x:v>
      </x:c>
      <x:c r="B365" s="68" t="str">
        <x:v>2026-02-18</x:v>
      </x:c>
      <x:c r="C365" s="68" t="n">
        <x:v>3</x:v>
      </x:c>
      <x:c r="D365" s="68" t="n">
        <x:v>21</x:v>
      </x:c>
      <x:c r="E365" s="68" t="n">
        <x:v>17</x:v>
      </x:c>
      <x:c r="F365" s="68" t="n">
        <x:v>29</x:v>
      </x:c>
      <x:c r="G365" s="68" t="n">
        <x:v>46</x:v>
      </x:c>
      <x:c r="H365" s="82" t="n">
        <x:v>793.78335</x:v>
      </x:c>
      <x:c r="I365" s="82" t="n">
        <x:v>130.702918</x:v>
      </x:c>
      <x:c r="J365" s="82" t="n">
        <x:v>145.335511</x:v>
      </x:c>
      <x:c r="K365" s="68" t="n">
        <x:f>E365-D365</x:f>
        <x:v>-4</x:v>
      </x:c>
      <x:c r="L365" s="68" t="n">
        <x:f>ABS(K365)</x:f>
        <x:v>4</x:v>
      </x:c>
    </x:row>
    <x:row r="366" ht="22" customHeight="1">
      <x:c r="A366" s="68" t="str">
        <x:v>UP</x:v>
      </x:c>
      <x:c r="B366" s="68" t="str">
        <x:v>2026-02-18</x:v>
      </x:c>
      <x:c r="C366" s="68" t="n">
        <x:v>4</x:v>
      </x:c>
      <x:c r="D366" s="68" t="n">
        <x:v>15</x:v>
      </x:c>
      <x:c r="E366" s="68" t="n">
        <x:v>8</x:v>
      </x:c>
      <x:c r="F366" s="68" t="n">
        <x:v>24</x:v>
      </x:c>
      <x:c r="G366" s="68" t="n">
        <x:v>32</x:v>
      </x:c>
      <x:c r="H366" s="82" t="n">
        <x:v>531.71666</x:v>
      </x:c>
      <x:c r="I366" s="82" t="n">
        <x:v>70.934383</x:v>
      </x:c>
      <x:c r="J366" s="82" t="n">
        <x:v>142.805088</x:v>
      </x:c>
      <x:c r="K366" s="68" t="n">
        <x:f>E366-D366</x:f>
        <x:v>-7</x:v>
      </x:c>
      <x:c r="L366" s="68" t="n">
        <x:f>ABS(K366)</x:f>
        <x:v>7</x:v>
      </x:c>
    </x:row>
    <x:row r="367" ht="22" customHeight="1">
      <x:c r="A367" s="68" t="str">
        <x:v>UP</x:v>
      </x:c>
      <x:c r="B367" s="68" t="str">
        <x:v>2026-02-18</x:v>
      </x:c>
      <x:c r="C367" s="68" t="n">
        <x:v>5</x:v>
      </x:c>
      <x:c r="D367" s="68" t="n">
        <x:v>19</x:v>
      </x:c>
      <x:c r="E367" s="68" t="n">
        <x:v>21</x:v>
      </x:c>
      <x:c r="F367" s="68" t="n">
        <x:v>18</x:v>
      </x:c>
      <x:c r="G367" s="68" t="n">
        <x:v>39</x:v>
      </x:c>
      <x:c r="H367" s="82" t="n">
        <x:v>383.38333</x:v>
      </x:c>
      <x:c r="I367" s="82" t="n">
        <x:v>121.461469</x:v>
      </x:c>
      <x:c r="J367" s="82" t="n">
        <x:v>81.389559</x:v>
      </x:c>
      <x:c r="K367" s="68" t="n">
        <x:f>E367-D367</x:f>
        <x:v>2</x:v>
      </x:c>
      <x:c r="L367" s="68" t="n">
        <x:f>ABS(K367)</x:f>
        <x:v>2</x:v>
      </x:c>
    </x:row>
    <x:row r="368" ht="22" customHeight="1">
      <x:c r="A368" s="68" t="str">
        <x:v>UP</x:v>
      </x:c>
      <x:c r="B368" s="68" t="str">
        <x:v>2026-02-18</x:v>
      </x:c>
      <x:c r="C368" s="68" t="n">
        <x:v>6</x:v>
      </x:c>
      <x:c r="D368" s="68" t="n">
        <x:v>13</x:v>
      </x:c>
      <x:c r="E368" s="68" t="n">
        <x:v>16</x:v>
      </x:c>
      <x:c r="F368" s="68" t="n">
        <x:v>30</x:v>
      </x:c>
      <x:c r="G368" s="68" t="n">
        <x:v>46</x:v>
      </x:c>
      <x:c r="H368" s="82" t="n">
        <x:v>487.7</x:v>
      </x:c>
      <x:c r="I368" s="82" t="n">
        <x:v>205.872796</x:v>
      </x:c>
      <x:c r="J368" s="82" t="n">
        <x:v>142.060029</x:v>
      </x:c>
      <x:c r="K368" s="68" t="n">
        <x:f>E368-D368</x:f>
        <x:v>3</x:v>
      </x:c>
      <x:c r="L368" s="68" t="n">
        <x:f>ABS(K368)</x:f>
        <x:v>3</x:v>
      </x:c>
    </x:row>
    <x:row r="369" ht="22" customHeight="1">
      <x:c r="A369" s="68" t="str">
        <x:v>UP</x:v>
      </x:c>
      <x:c r="B369" s="68" t="str">
        <x:v>2026-02-18</x:v>
      </x:c>
      <x:c r="C369" s="68" t="n">
        <x:v>7</x:v>
      </x:c>
      <x:c r="D369" s="68" t="n">
        <x:v>33</x:v>
      </x:c>
      <x:c r="E369" s="68" t="n">
        <x:v>14</x:v>
      </x:c>
      <x:c r="F369" s="68" t="n">
        <x:v>22</x:v>
      </x:c>
      <x:c r="G369" s="68" t="n">
        <x:v>36</x:v>
      </x:c>
      <x:c r="H369" s="82" t="n">
        <x:v>694.69999</x:v>
      </x:c>
      <x:c r="I369" s="82" t="n">
        <x:v>169.343479</x:v>
      </x:c>
      <x:c r="J369" s="82" t="n">
        <x:v>155.257576</x:v>
      </x:c>
      <x:c r="K369" s="68" t="n">
        <x:f>E369-D369</x:f>
        <x:v>-19</x:v>
      </x:c>
      <x:c r="L369" s="68" t="n">
        <x:f>ABS(K369)</x:f>
        <x:v>19</x:v>
      </x:c>
    </x:row>
    <x:row r="370" ht="22" customHeight="1">
      <x:c r="A370" s="68" t="str">
        <x:v>UP</x:v>
      </x:c>
      <x:c r="B370" s="68" t="str">
        <x:v>2026-02-18</x:v>
      </x:c>
      <x:c r="C370" s="68" t="n">
        <x:v>8</x:v>
      </x:c>
      <x:c r="D370" s="68" t="n">
        <x:v>38</x:v>
      </x:c>
      <x:c r="E370" s="68" t="n">
        <x:v>21</x:v>
      </x:c>
      <x:c r="F370" s="68" t="n">
        <x:v>36</x:v>
      </x:c>
      <x:c r="G370" s="68" t="n">
        <x:v>57</x:v>
      </x:c>
      <x:c r="H370" s="82" t="n">
        <x:v>900.46666</x:v>
      </x:c>
      <x:c r="I370" s="82" t="n">
        <x:v>266.419618</x:v>
      </x:c>
      <x:c r="J370" s="82" t="n">
        <x:v>207.543436</x:v>
      </x:c>
      <x:c r="K370" s="68" t="n">
        <x:f>E370-D370</x:f>
        <x:v>-17</x:v>
      </x:c>
      <x:c r="L370" s="68" t="n">
        <x:f>ABS(K370)</x:f>
        <x:v>17</x:v>
      </x:c>
    </x:row>
    <x:row r="371" ht="22" customHeight="1">
      <x:c r="A371" s="68" t="str">
        <x:v>UP</x:v>
      </x:c>
      <x:c r="B371" s="68" t="str">
        <x:v>2026-02-18</x:v>
      </x:c>
      <x:c r="C371" s="68" t="n">
        <x:v>9</x:v>
      </x:c>
      <x:c r="D371" s="68" t="n">
        <x:v>39</x:v>
      </x:c>
      <x:c r="E371" s="68" t="n">
        <x:v>21</x:v>
      </x:c>
      <x:c r="F371" s="68" t="n">
        <x:v>32</x:v>
      </x:c>
      <x:c r="G371" s="68" t="n">
        <x:v>53</x:v>
      </x:c>
      <x:c r="H371" s="82" t="n">
        <x:v>1232.41667</x:v>
      </x:c>
      <x:c r="I371" s="82" t="n">
        <x:v>280.285994</x:v>
      </x:c>
      <x:c r="J371" s="82" t="n">
        <x:v>209.969642</x:v>
      </x:c>
      <x:c r="K371" s="68" t="n">
        <x:f>E371-D371</x:f>
        <x:v>-18</x:v>
      </x:c>
      <x:c r="L371" s="68" t="n">
        <x:f>ABS(K371)</x:f>
        <x:v>18</x:v>
      </x:c>
    </x:row>
    <x:row r="372" ht="22" customHeight="1">
      <x:c r="A372" s="68" t="str">
        <x:v>UP</x:v>
      </x:c>
      <x:c r="B372" s="68" t="str">
        <x:v>2026-02-18</x:v>
      </x:c>
      <x:c r="C372" s="68" t="n">
        <x:v>10</x:v>
      </x:c>
      <x:c r="D372" s="68" t="n">
        <x:v>28</x:v>
      </x:c>
      <x:c r="E372" s="68" t="n">
        <x:v>24</x:v>
      </x:c>
      <x:c r="F372" s="68" t="n">
        <x:v>44</x:v>
      </x:c>
      <x:c r="G372" s="68" t="n">
        <x:v>68</x:v>
      </x:c>
      <x:c r="H372" s="82" t="n">
        <x:v>828.58333</x:v>
      </x:c>
      <x:c r="I372" s="82" t="n">
        <x:v>273.142567</x:v>
      </x:c>
      <x:c r="J372" s="82" t="n">
        <x:v>221.515924</x:v>
      </x:c>
      <x:c r="K372" s="68" t="n">
        <x:f>E372-D372</x:f>
        <x:v>-4</x:v>
      </x:c>
      <x:c r="L372" s="68" t="n">
        <x:f>ABS(K372)</x:f>
        <x:v>4</x:v>
      </x:c>
    </x:row>
    <x:row r="373" ht="22" customHeight="1">
      <x:c r="A373" s="68" t="str">
        <x:v>UP</x:v>
      </x:c>
      <x:c r="B373" s="68" t="str">
        <x:v>2026-02-18</x:v>
      </x:c>
      <x:c r="C373" s="68" t="n">
        <x:v>11</x:v>
      </x:c>
      <x:c r="D373" s="68" t="n">
        <x:v>49</x:v>
      </x:c>
      <x:c r="E373" s="68" t="n">
        <x:v>31</x:v>
      </x:c>
      <x:c r="F373" s="68" t="n">
        <x:v>56</x:v>
      </x:c>
      <x:c r="G373" s="68" t="n">
        <x:v>87</x:v>
      </x:c>
      <x:c r="H373" s="82" t="n">
        <x:v>982.88333</x:v>
      </x:c>
      <x:c r="I373" s="82" t="n">
        <x:v>332.549987</x:v>
      </x:c>
      <x:c r="J373" s="82" t="n">
        <x:v>335.897441</x:v>
      </x:c>
      <x:c r="K373" s="68" t="n">
        <x:f>E373-D373</x:f>
        <x:v>-18</x:v>
      </x:c>
      <x:c r="L373" s="68" t="n">
        <x:f>ABS(K373)</x:f>
        <x:v>18</x:v>
      </x:c>
    </x:row>
    <x:row r="374" ht="22" customHeight="1">
      <x:c r="A374" s="68" t="str">
        <x:v>UP</x:v>
      </x:c>
      <x:c r="B374" s="68" t="str">
        <x:v>2026-02-18</x:v>
      </x:c>
      <x:c r="C374" s="68" t="n">
        <x:v>12</x:v>
      </x:c>
      <x:c r="D374" s="68" t="n">
        <x:v>39</x:v>
      </x:c>
      <x:c r="E374" s="68" t="n">
        <x:v>33</x:v>
      </x:c>
      <x:c r="F374" s="68" t="n">
        <x:v>66</x:v>
      </x:c>
      <x:c r="G374" s="68" t="n">
        <x:v>99</x:v>
      </x:c>
      <x:c r="H374" s="82" t="n">
        <x:v>1297.00001</x:v>
      </x:c>
      <x:c r="I374" s="82" t="n">
        <x:v>482.672497</x:v>
      </x:c>
      <x:c r="J374" s="82" t="n">
        <x:v>542.256476</x:v>
      </x:c>
      <x:c r="K374" s="68" t="n">
        <x:f>E374-D374</x:f>
        <x:v>-6</x:v>
      </x:c>
      <x:c r="L374" s="68" t="n">
        <x:f>ABS(K374)</x:f>
        <x:v>6</x:v>
      </x:c>
    </x:row>
    <x:row r="375" ht="22" customHeight="1">
      <x:c r="A375" s="68" t="str">
        <x:v>UP</x:v>
      </x:c>
      <x:c r="B375" s="68" t="str">
        <x:v>2026-02-18</x:v>
      </x:c>
      <x:c r="C375" s="68" t="n">
        <x:v>13</x:v>
      </x:c>
      <x:c r="D375" s="68" t="n">
        <x:v>53</x:v>
      </x:c>
      <x:c r="E375" s="68" t="n">
        <x:v>35</x:v>
      </x:c>
      <x:c r="F375" s="68" t="n">
        <x:v>55</x:v>
      </x:c>
      <x:c r="G375" s="68" t="n">
        <x:v>90</x:v>
      </x:c>
      <x:c r="H375" s="82" t="n">
        <x:v>1353.93332</x:v>
      </x:c>
      <x:c r="I375" s="82" t="n">
        <x:v>568.372166</x:v>
      </x:c>
      <x:c r="J375" s="82" t="n">
        <x:v>474.364558</x:v>
      </x:c>
      <x:c r="K375" s="68" t="n">
        <x:f>E375-D375</x:f>
        <x:v>-18</x:v>
      </x:c>
      <x:c r="L375" s="68" t="n">
        <x:f>ABS(K375)</x:f>
        <x:v>18</x:v>
      </x:c>
    </x:row>
    <x:row r="376" ht="22" customHeight="1">
      <x:c r="A376" s="68" t="str">
        <x:v>UP</x:v>
      </x:c>
      <x:c r="B376" s="68" t="str">
        <x:v>2026-02-18</x:v>
      </x:c>
      <x:c r="C376" s="68" t="n">
        <x:v>14</x:v>
      </x:c>
      <x:c r="D376" s="68" t="n">
        <x:v>44</x:v>
      </x:c>
      <x:c r="E376" s="68" t="n">
        <x:v>34</x:v>
      </x:c>
      <x:c r="F376" s="68" t="n">
        <x:v>64</x:v>
      </x:c>
      <x:c r="G376" s="68" t="n">
        <x:v>98</x:v>
      </x:c>
      <x:c r="H376" s="82" t="n">
        <x:v>1239.75</x:v>
      </x:c>
      <x:c r="I376" s="82" t="n">
        <x:v>506.976987</x:v>
      </x:c>
      <x:c r="J376" s="82" t="n">
        <x:v>558.543742</x:v>
      </x:c>
      <x:c r="K376" s="68" t="n">
        <x:f>E376-D376</x:f>
        <x:v>-10</x:v>
      </x:c>
      <x:c r="L376" s="68" t="n">
        <x:f>ABS(K376)</x:f>
        <x:v>10</x:v>
      </x:c>
    </x:row>
    <x:row r="377" ht="22" customHeight="1">
      <x:c r="A377" s="68" t="str">
        <x:v>UP</x:v>
      </x:c>
      <x:c r="B377" s="68" t="str">
        <x:v>2026-02-18</x:v>
      </x:c>
      <x:c r="C377" s="68" t="n">
        <x:v>15</x:v>
      </x:c>
      <x:c r="D377" s="68" t="n">
        <x:v>49</x:v>
      </x:c>
      <x:c r="E377" s="68" t="n">
        <x:v>30</x:v>
      </x:c>
      <x:c r="F377" s="68" t="n">
        <x:v>54</x:v>
      </x:c>
      <x:c r="G377" s="68" t="n">
        <x:v>84</x:v>
      </x:c>
      <x:c r="H377" s="82" t="n">
        <x:v>1372.53333</x:v>
      </x:c>
      <x:c r="I377" s="82" t="n">
        <x:v>452.057964</x:v>
      </x:c>
      <x:c r="J377" s="82" t="n">
        <x:v>495.937116</x:v>
      </x:c>
      <x:c r="K377" s="68" t="n">
        <x:f>E377-D377</x:f>
        <x:v>-19</x:v>
      </x:c>
      <x:c r="L377" s="68" t="n">
        <x:f>ABS(K377)</x:f>
        <x:v>19</x:v>
      </x:c>
    </x:row>
    <x:row r="378" ht="22" customHeight="1">
      <x:c r="A378" s="68" t="str">
        <x:v>UP</x:v>
      </x:c>
      <x:c r="B378" s="68" t="str">
        <x:v>2026-02-18</x:v>
      </x:c>
      <x:c r="C378" s="68" t="n">
        <x:v>16</x:v>
      </x:c>
      <x:c r="D378" s="68" t="n">
        <x:v>38</x:v>
      </x:c>
      <x:c r="E378" s="68" t="n">
        <x:v>31</x:v>
      </x:c>
      <x:c r="F378" s="68" t="n">
        <x:v>70</x:v>
      </x:c>
      <x:c r="G378" s="68" t="n">
        <x:v>101</x:v>
      </x:c>
      <x:c r="H378" s="82" t="n">
        <x:v>1149.34999</x:v>
      </x:c>
      <x:c r="I378" s="82" t="n">
        <x:v>510.299057</x:v>
      </x:c>
      <x:c r="J378" s="82" t="n">
        <x:v>454.128731</x:v>
      </x:c>
      <x:c r="K378" s="68" t="n">
        <x:f>E378-D378</x:f>
        <x:v>-7</x:v>
      </x:c>
      <x:c r="L378" s="68" t="n">
        <x:f>ABS(K378)</x:f>
        <x:v>7</x:v>
      </x:c>
    </x:row>
    <x:row r="379" ht="22" customHeight="1">
      <x:c r="A379" s="68" t="str">
        <x:v>UP</x:v>
      </x:c>
      <x:c r="B379" s="68" t="str">
        <x:v>2026-02-18</x:v>
      </x:c>
      <x:c r="C379" s="68" t="n">
        <x:v>17</x:v>
      </x:c>
      <x:c r="D379" s="68" t="n">
        <x:v>38</x:v>
      </x:c>
      <x:c r="E379" s="68" t="n">
        <x:v>44</x:v>
      </x:c>
      <x:c r="F379" s="68" t="n">
        <x:v>61</x:v>
      </x:c>
      <x:c r="G379" s="68" t="n">
        <x:v>105</x:v>
      </x:c>
      <x:c r="H379" s="82" t="n">
        <x:v>1067.94999</x:v>
      </x:c>
      <x:c r="I379" s="82" t="n">
        <x:v>513.497597</x:v>
      </x:c>
      <x:c r="J379" s="82" t="n">
        <x:v>437.429871</x:v>
      </x:c>
      <x:c r="K379" s="68" t="n">
        <x:f>E379-D379</x:f>
        <x:v>6</x:v>
      </x:c>
      <x:c r="L379" s="68" t="n">
        <x:f>ABS(K379)</x:f>
        <x:v>6</x:v>
      </x:c>
    </x:row>
    <x:row r="380" ht="22" customHeight="1">
      <x:c r="A380" s="68" t="str">
        <x:v>UP</x:v>
      </x:c>
      <x:c r="B380" s="68" t="str">
        <x:v>2026-02-18</x:v>
      </x:c>
      <x:c r="C380" s="68" t="n">
        <x:v>18</x:v>
      </x:c>
      <x:c r="D380" s="68" t="n">
        <x:v>38</x:v>
      </x:c>
      <x:c r="E380" s="68" t="n">
        <x:v>26</x:v>
      </x:c>
      <x:c r="F380" s="68" t="n">
        <x:v>60</x:v>
      </x:c>
      <x:c r="G380" s="68" t="n">
        <x:v>86</x:v>
      </x:c>
      <x:c r="H380" s="82" t="n">
        <x:v>958.26666</x:v>
      </x:c>
      <x:c r="I380" s="82" t="n">
        <x:v>392.344419</x:v>
      </x:c>
      <x:c r="J380" s="82" t="n">
        <x:v>475.647252</x:v>
      </x:c>
      <x:c r="K380" s="68" t="n">
        <x:f>E380-D380</x:f>
        <x:v>-12</x:v>
      </x:c>
      <x:c r="L380" s="68" t="n">
        <x:f>ABS(K380)</x:f>
        <x:v>12</x:v>
      </x:c>
    </x:row>
    <x:row r="381" ht="22" customHeight="1">
      <x:c r="A381" s="68" t="str">
        <x:v>UP</x:v>
      </x:c>
      <x:c r="B381" s="68" t="str">
        <x:v>2026-02-18</x:v>
      </x:c>
      <x:c r="C381" s="68" t="n">
        <x:v>19</x:v>
      </x:c>
      <x:c r="D381" s="68" t="n">
        <x:v>36</x:v>
      </x:c>
      <x:c r="E381" s="68" t="n">
        <x:v>35</x:v>
      </x:c>
      <x:c r="F381" s="68" t="n">
        <x:v>49</x:v>
      </x:c>
      <x:c r="G381" s="68" t="n">
        <x:v>84</x:v>
      </x:c>
      <x:c r="H381" s="82" t="n">
        <x:v>949.55001</x:v>
      </x:c>
      <x:c r="I381" s="82" t="n">
        <x:v>352.159657</x:v>
      </x:c>
      <x:c r="J381" s="82" t="n">
        <x:v>558.302902</x:v>
      </x:c>
      <x:c r="K381" s="68" t="n">
        <x:f>E381-D381</x:f>
        <x:v>-1</x:v>
      </x:c>
      <x:c r="L381" s="68" t="n">
        <x:f>ABS(K381)</x:f>
        <x:v>1</x:v>
      </x:c>
    </x:row>
    <x:row r="382" ht="22" customHeight="1">
      <x:c r="A382" s="68" t="str">
        <x:v>UP</x:v>
      </x:c>
      <x:c r="B382" s="68" t="str">
        <x:v>2026-02-18</x:v>
      </x:c>
      <x:c r="C382" s="68" t="n">
        <x:v>20</x:v>
      </x:c>
      <x:c r="D382" s="68" t="n">
        <x:v>39</x:v>
      </x:c>
      <x:c r="E382" s="68" t="n">
        <x:v>30</x:v>
      </x:c>
      <x:c r="F382" s="68" t="n">
        <x:v>47</x:v>
      </x:c>
      <x:c r="G382" s="68" t="n">
        <x:v>77</x:v>
      </x:c>
      <x:c r="H382" s="82" t="n">
        <x:v>888.53334</x:v>
      </x:c>
      <x:c r="I382" s="82" t="n">
        <x:v>312.701233</x:v>
      </x:c>
      <x:c r="J382" s="82" t="n">
        <x:v>414.222366</x:v>
      </x:c>
      <x:c r="K382" s="68" t="n">
        <x:f>E382-D382</x:f>
        <x:v>-9</x:v>
      </x:c>
      <x:c r="L382" s="68" t="n">
        <x:f>ABS(K382)</x:f>
        <x:v>9</x:v>
      </x:c>
    </x:row>
    <x:row r="383" ht="22" customHeight="1">
      <x:c r="A383" s="68" t="str">
        <x:v>UP</x:v>
      </x:c>
      <x:c r="B383" s="68" t="str">
        <x:v>2026-02-18</x:v>
      </x:c>
      <x:c r="C383" s="68" t="n">
        <x:v>21</x:v>
      </x:c>
      <x:c r="D383" s="68" t="n">
        <x:v>38</x:v>
      </x:c>
      <x:c r="E383" s="68" t="n">
        <x:v>28</x:v>
      </x:c>
      <x:c r="F383" s="68" t="n">
        <x:v>59</x:v>
      </x:c>
      <x:c r="G383" s="68" t="n">
        <x:v>87</x:v>
      </x:c>
      <x:c r="H383" s="82" t="n">
        <x:v>972.46667</x:v>
      </x:c>
      <x:c r="I383" s="82" t="n">
        <x:v>335.5019</x:v>
      </x:c>
      <x:c r="J383" s="82" t="n">
        <x:v>398.801635</x:v>
      </x:c>
      <x:c r="K383" s="68" t="n">
        <x:f>E383-D383</x:f>
        <x:v>-10</x:v>
      </x:c>
      <x:c r="L383" s="68" t="n">
        <x:f>ABS(K383)</x:f>
        <x:v>10</x:v>
      </x:c>
    </x:row>
    <x:row r="384" ht="22" customHeight="1">
      <x:c r="A384" s="68" t="str">
        <x:v>UP</x:v>
      </x:c>
      <x:c r="B384" s="68" t="str">
        <x:v>2026-02-18</x:v>
      </x:c>
      <x:c r="C384" s="68" t="n">
        <x:v>22</x:v>
      </x:c>
      <x:c r="D384" s="68" t="n">
        <x:v>43</x:v>
      </x:c>
      <x:c r="E384" s="68" t="n">
        <x:v>19</x:v>
      </x:c>
      <x:c r="F384" s="68" t="n">
        <x:v>46</x:v>
      </x:c>
      <x:c r="G384" s="68" t="n">
        <x:v>65</x:v>
      </x:c>
      <x:c r="H384" s="82" t="n">
        <x:v>931.36667</x:v>
      </x:c>
      <x:c r="I384" s="82" t="n">
        <x:v>325.30429</x:v>
      </x:c>
      <x:c r="J384" s="82" t="n">
        <x:v>350.057264</x:v>
      </x:c>
      <x:c r="K384" s="68" t="n">
        <x:f>E384-D384</x:f>
        <x:v>-24</x:v>
      </x:c>
      <x:c r="L384" s="68" t="n">
        <x:f>ABS(K384)</x:f>
        <x:v>24</x:v>
      </x:c>
    </x:row>
    <x:row r="385" ht="22" customHeight="1">
      <x:c r="A385" s="68" t="str">
        <x:v>UP</x:v>
      </x:c>
      <x:c r="B385" s="68" t="str">
        <x:v>2026-02-18</x:v>
      </x:c>
      <x:c r="C385" s="68" t="n">
        <x:v>23</x:v>
      </x:c>
      <x:c r="D385" s="68" t="n">
        <x:v>21</x:v>
      </x:c>
      <x:c r="E385" s="68" t="n">
        <x:v>24</x:v>
      </x:c>
      <x:c r="F385" s="68" t="n">
        <x:v>40</x:v>
      </x:c>
      <x:c r="G385" s="68" t="n">
        <x:v>64</x:v>
      </x:c>
      <x:c r="H385" s="82" t="n">
        <x:v>695.11668</x:v>
      </x:c>
      <x:c r="I385" s="82" t="n">
        <x:v>216.676996</x:v>
      </x:c>
      <x:c r="J385" s="82" t="n">
        <x:v>269.566638</x:v>
      </x:c>
      <x:c r="K385" s="68" t="n">
        <x:f>E385-D385</x:f>
        <x:v>3</x:v>
      </x:c>
      <x:c r="L385" s="68" t="n">
        <x:f>ABS(K385)</x:f>
        <x:v>3</x:v>
      </x:c>
    </x:row>
    <x:row r="386" ht="22" customHeight="1">
      <x:c r="A386" s="68" t="str">
        <x:v>UP</x:v>
      </x:c>
      <x:c r="B386" s="68" t="str">
        <x:v>2026-02-19</x:v>
      </x:c>
      <x:c r="C386" s="68" t="n">
        <x:v>0</x:v>
      </x:c>
      <x:c r="D386" s="68" t="n">
        <x:v>18</x:v>
      </x:c>
      <x:c r="E386" s="68" t="n">
        <x:v>4</x:v>
      </x:c>
      <x:c r="F386" s="68" t="n">
        <x:v>10</x:v>
      </x:c>
      <x:c r="G386" s="68" t="n">
        <x:v>14</x:v>
      </x:c>
      <x:c r="H386" s="82" t="n">
        <x:v>465.78334</x:v>
      </x:c>
      <x:c r="I386" s="82" t="n">
        <x:v>10.042694</x:v>
      </x:c>
      <x:c r="J386" s="82" t="n">
        <x:v>40.755192</x:v>
      </x:c>
      <x:c r="K386" s="68" t="n">
        <x:f>E386-D386</x:f>
        <x:v>-14</x:v>
      </x:c>
      <x:c r="L386" s="68" t="n">
        <x:f>ABS(K386)</x:f>
        <x:v>14</x:v>
      </x:c>
    </x:row>
    <x:row r="387" ht="22" customHeight="1">
      <x:c r="A387" s="68" t="str">
        <x:v>UP</x:v>
      </x:c>
      <x:c r="B387" s="68" t="str">
        <x:v>2026-02-19</x:v>
      </x:c>
      <x:c r="C387" s="68" t="n">
        <x:v>1</x:v>
      </x:c>
      <x:c r="D387" s="68" t="n">
        <x:v>8</x:v>
      </x:c>
      <x:c r="E387" s="68" t="n">
        <x:v>7</x:v>
      </x:c>
      <x:c r="F387" s="68" t="n">
        <x:v>14</x:v>
      </x:c>
      <x:c r="G387" s="68" t="n">
        <x:v>21</x:v>
      </x:c>
      <x:c r="H387" s="82" t="n">
        <x:v>288.86665</x:v>
      </x:c>
      <x:c r="I387" s="82" t="n">
        <x:v>75.484473</x:v>
      </x:c>
      <x:c r="J387" s="82" t="n">
        <x:v>81.884964</x:v>
      </x:c>
      <x:c r="K387" s="68" t="n">
        <x:f>E387-D387</x:f>
        <x:v>-1</x:v>
      </x:c>
      <x:c r="L387" s="68" t="n">
        <x:f>ABS(K387)</x:f>
        <x:v>1</x:v>
      </x:c>
    </x:row>
    <x:row r="388" ht="22" customHeight="1">
      <x:c r="A388" s="68" t="str">
        <x:v>UP</x:v>
      </x:c>
      <x:c r="B388" s="68" t="str">
        <x:v>2026-02-19</x:v>
      </x:c>
      <x:c r="C388" s="68" t="n">
        <x:v>2</x:v>
      </x:c>
      <x:c r="D388" s="68" t="n">
        <x:v>7</x:v>
      </x:c>
      <x:c r="E388" s="68" t="n">
        <x:v>11</x:v>
      </x:c>
      <x:c r="F388" s="68" t="n">
        <x:v>7</x:v>
      </x:c>
      <x:c r="G388" s="68" t="n">
        <x:v>18</x:v>
      </x:c>
      <x:c r="H388" s="82" t="n">
        <x:v>181.53334</x:v>
      </x:c>
      <x:c r="I388" s="82" t="n">
        <x:v>135.634459</x:v>
      </x:c>
      <x:c r="J388" s="82" t="n">
        <x:v>50.480883</x:v>
      </x:c>
      <x:c r="K388" s="68" t="n">
        <x:f>E388-D388</x:f>
        <x:v>4</x:v>
      </x:c>
      <x:c r="L388" s="68" t="n">
        <x:f>ABS(K388)</x:f>
        <x:v>4</x:v>
      </x:c>
    </x:row>
    <x:row r="389" ht="22" customHeight="1">
      <x:c r="A389" s="68" t="str">
        <x:v>UP</x:v>
      </x:c>
      <x:c r="B389" s="68" t="str">
        <x:v>2026-02-19</x:v>
      </x:c>
      <x:c r="C389" s="68" t="n">
        <x:v>3</x:v>
      </x:c>
      <x:c r="D389" s="68" t="n">
        <x:v>5</x:v>
      </x:c>
      <x:c r="E389" s="68" t="n">
        <x:v>11</x:v>
      </x:c>
      <x:c r="F389" s="68" t="n">
        <x:v>5</x:v>
      </x:c>
      <x:c r="G389" s="68" t="n">
        <x:v>16</x:v>
      </x:c>
      <x:c r="H389" s="82" t="n">
        <x:v>178.75</x:v>
      </x:c>
      <x:c r="I389" s="82" t="n">
        <x:v>122.8375</x:v>
      </x:c>
      <x:c r="J389" s="82" t="n">
        <x:v>18.673642</x:v>
      </x:c>
      <x:c r="K389" s="68" t="n">
        <x:f>E389-D389</x:f>
        <x:v>6</x:v>
      </x:c>
      <x:c r="L389" s="68" t="n">
        <x:f>ABS(K389)</x:f>
        <x:v>6</x:v>
      </x:c>
    </x:row>
    <x:row r="390" ht="22" customHeight="1">
      <x:c r="A390" s="68" t="str">
        <x:v>UP</x:v>
      </x:c>
      <x:c r="B390" s="68" t="str">
        <x:v>2026-02-19</x:v>
      </x:c>
      <x:c r="C390" s="68" t="n">
        <x:v>4</x:v>
      </x:c>
      <x:c r="D390" s="68" t="n">
        <x:v>7</x:v>
      </x:c>
      <x:c r="E390" s="68" t="n">
        <x:v>6</x:v>
      </x:c>
      <x:c r="F390" s="68" t="n">
        <x:v>7</x:v>
      </x:c>
      <x:c r="G390" s="68" t="n">
        <x:v>13</x:v>
      </x:c>
      <x:c r="H390" s="82" t="n">
        <x:v>161.83333</x:v>
      </x:c>
      <x:c r="I390" s="82" t="n">
        <x:v>72.229967</x:v>
      </x:c>
      <x:c r="J390" s="82" t="n">
        <x:v>57.902208</x:v>
      </x:c>
      <x:c r="K390" s="68" t="n">
        <x:f>E390-D390</x:f>
        <x:v>-1</x:v>
      </x:c>
      <x:c r="L390" s="68" t="n">
        <x:f>ABS(K390)</x:f>
        <x:v>1</x:v>
      </x:c>
    </x:row>
    <x:row r="391" ht="22" customHeight="1">
      <x:c r="A391" s="68" t="str">
        <x:v>UP</x:v>
      </x:c>
      <x:c r="B391" s="68" t="str">
        <x:v>2026-02-19</x:v>
      </x:c>
      <x:c r="C391" s="68" t="n">
        <x:v>5</x:v>
      </x:c>
      <x:c r="D391" s="68" t="n">
        <x:v>4</x:v>
      </x:c>
      <x:c r="E391" s="68" t="n">
        <x:v>6</x:v>
      </x:c>
      <x:c r="F391" s="68" t="n">
        <x:v>13</x:v>
      </x:c>
      <x:c r="G391" s="68" t="n">
        <x:v>19</x:v>
      </x:c>
      <x:c r="H391" s="82" t="n">
        <x:v>153.13333</x:v>
      </x:c>
      <x:c r="I391" s="82" t="n">
        <x:v>63.021833</x:v>
      </x:c>
      <x:c r="J391" s="82" t="n">
        <x:v>36.408873</x:v>
      </x:c>
      <x:c r="K391" s="68" t="n">
        <x:f>E391-D391</x:f>
        <x:v>2</x:v>
      </x:c>
      <x:c r="L391" s="68" t="n">
        <x:f>ABS(K391)</x:f>
        <x:v>2</x:v>
      </x:c>
    </x:row>
    <x:row r="392" ht="22" customHeight="1">
      <x:c r="A392" s="68" t="str">
        <x:v>UP</x:v>
      </x:c>
      <x:c r="B392" s="68" t="str">
        <x:v>2026-02-19</x:v>
      </x:c>
      <x:c r="C392" s="68" t="n">
        <x:v>6</x:v>
      </x:c>
      <x:c r="D392" s="68" t="n">
        <x:v>11</x:v>
      </x:c>
      <x:c r="E392" s="68" t="n">
        <x:v>21</x:v>
      </x:c>
      <x:c r="F392" s="68" t="n">
        <x:v>26</x:v>
      </x:c>
      <x:c r="G392" s="68" t="n">
        <x:v>47</x:v>
      </x:c>
      <x:c r="H392" s="82" t="n">
        <x:v>334.93334</x:v>
      </x:c>
      <x:c r="I392" s="82" t="n">
        <x:v>162.444529</x:v>
      </x:c>
      <x:c r="J392" s="82" t="n">
        <x:v>143.564931</x:v>
      </x:c>
      <x:c r="K392" s="68" t="n">
        <x:f>E392-D392</x:f>
        <x:v>10</x:v>
      </x:c>
      <x:c r="L392" s="68" t="n">
        <x:f>ABS(K392)</x:f>
        <x:v>10</x:v>
      </x:c>
    </x:row>
    <x:row r="393" ht="22" customHeight="1">
      <x:c r="A393" s="68" t="str">
        <x:v>UP</x:v>
      </x:c>
      <x:c r="B393" s="68" t="str">
        <x:v>2026-02-19</x:v>
      </x:c>
      <x:c r="C393" s="68" t="n">
        <x:v>7</x:v>
      </x:c>
      <x:c r="D393" s="68" t="n">
        <x:v>13</x:v>
      </x:c>
      <x:c r="E393" s="68" t="n">
        <x:v>13</x:v>
      </x:c>
      <x:c r="F393" s="68" t="n">
        <x:v>25</x:v>
      </x:c>
      <x:c r="G393" s="68" t="n">
        <x:v>38</x:v>
      </x:c>
      <x:c r="H393" s="82" t="n">
        <x:v>243.38334</x:v>
      </x:c>
      <x:c r="I393" s="82" t="n">
        <x:v>153.717719</x:v>
      </x:c>
      <x:c r="J393" s="82" t="n">
        <x:v>256.951699</x:v>
      </x:c>
      <x:c r="K393" s="68" t="n">
        <x:f>E393-D393</x:f>
        <x:v>0</x:v>
      </x:c>
      <x:c r="L393" s="68" t="n">
        <x:f>ABS(K393)</x:f>
        <x:v>0</x:v>
      </x:c>
    </x:row>
    <x:row r="394" ht="22" customHeight="1">
      <x:c r="A394" s="68" t="str">
        <x:v>UP</x:v>
      </x:c>
      <x:c r="B394" s="68" t="str">
        <x:v>2026-02-19</x:v>
      </x:c>
      <x:c r="C394" s="68" t="n">
        <x:v>8</x:v>
      </x:c>
      <x:c r="D394" s="68" t="n">
        <x:v>26</x:v>
      </x:c>
      <x:c r="E394" s="68" t="n">
        <x:v>16</x:v>
      </x:c>
      <x:c r="F394" s="68" t="n">
        <x:v>32</x:v>
      </x:c>
      <x:c r="G394" s="68" t="n">
        <x:v>48</x:v>
      </x:c>
      <x:c r="H394" s="82" t="n">
        <x:v>560.28334</x:v>
      </x:c>
      <x:c r="I394" s="82" t="n">
        <x:v>150.708942</x:v>
      </x:c>
      <x:c r="J394" s="82" t="n">
        <x:v>160.779911</x:v>
      </x:c>
      <x:c r="K394" s="68" t="n">
        <x:f>E394-D394</x:f>
        <x:v>-10</x:v>
      </x:c>
      <x:c r="L394" s="68" t="n">
        <x:f>ABS(K394)</x:f>
        <x:v>10</x:v>
      </x:c>
    </x:row>
    <x:row r="395" ht="22" customHeight="1">
      <x:c r="A395" s="68" t="str">
        <x:v>UP</x:v>
      </x:c>
      <x:c r="B395" s="68" t="str">
        <x:v>2026-02-19</x:v>
      </x:c>
      <x:c r="C395" s="68" t="n">
        <x:v>9</x:v>
      </x:c>
      <x:c r="D395" s="68" t="n">
        <x:v>24</x:v>
      </x:c>
      <x:c r="E395" s="68" t="n">
        <x:v>21</x:v>
      </x:c>
      <x:c r="F395" s="68" t="n">
        <x:v>22</x:v>
      </x:c>
      <x:c r="G395" s="68" t="n">
        <x:v>43</x:v>
      </x:c>
      <x:c r="H395" s="82" t="n">
        <x:v>767.98333</x:v>
      </x:c>
      <x:c r="I395" s="82" t="n">
        <x:v>207.56387</x:v>
      </x:c>
      <x:c r="J395" s="82" t="n">
        <x:v>104.635838</x:v>
      </x:c>
      <x:c r="K395" s="68" t="n">
        <x:f>E395-D395</x:f>
        <x:v>-3</x:v>
      </x:c>
      <x:c r="L395" s="68" t="n">
        <x:f>ABS(K395)</x:f>
        <x:v>3</x:v>
      </x:c>
    </x:row>
    <x:row r="396" ht="22" customHeight="1">
      <x:c r="A396" s="68" t="str">
        <x:v>UP</x:v>
      </x:c>
      <x:c r="B396" s="68" t="str">
        <x:v>2026-02-19</x:v>
      </x:c>
      <x:c r="C396" s="68" t="n">
        <x:v>10</x:v>
      </x:c>
      <x:c r="D396" s="68" t="n">
        <x:v>34</x:v>
      </x:c>
      <x:c r="E396" s="68" t="n">
        <x:v>24</x:v>
      </x:c>
      <x:c r="F396" s="68" t="n">
        <x:v>43</x:v>
      </x:c>
      <x:c r="G396" s="68" t="n">
        <x:v>67</x:v>
      </x:c>
      <x:c r="H396" s="82" t="n">
        <x:v>904.31667</x:v>
      </x:c>
      <x:c r="I396" s="82" t="n">
        <x:v>234.597054</x:v>
      </x:c>
      <x:c r="J396" s="82" t="n">
        <x:v>278.129382</x:v>
      </x:c>
      <x:c r="K396" s="68" t="n">
        <x:f>E396-D396</x:f>
        <x:v>-10</x:v>
      </x:c>
      <x:c r="L396" s="68" t="n">
        <x:f>ABS(K396)</x:f>
        <x:v>10</x:v>
      </x:c>
    </x:row>
    <x:row r="397" ht="22" customHeight="1">
      <x:c r="A397" s="68" t="str">
        <x:v>UP</x:v>
      </x:c>
      <x:c r="B397" s="68" t="str">
        <x:v>2026-02-19</x:v>
      </x:c>
      <x:c r="C397" s="68" t="n">
        <x:v>11</x:v>
      </x:c>
      <x:c r="D397" s="68" t="n">
        <x:v>50</x:v>
      </x:c>
      <x:c r="E397" s="68" t="n">
        <x:v>37</x:v>
      </x:c>
      <x:c r="F397" s="68" t="n">
        <x:v>61</x:v>
      </x:c>
      <x:c r="G397" s="68" t="n">
        <x:v>98</x:v>
      </x:c>
      <x:c r="H397" s="82" t="n">
        <x:v>1212.51665</x:v>
      </x:c>
      <x:c r="I397" s="82" t="n">
        <x:v>314.566988</x:v>
      </x:c>
      <x:c r="J397" s="82" t="n">
        <x:v>415.155744</x:v>
      </x:c>
      <x:c r="K397" s="68" t="n">
        <x:f>E397-D397</x:f>
        <x:v>-13</x:v>
      </x:c>
      <x:c r="L397" s="68" t="n">
        <x:f>ABS(K397)</x:f>
        <x:v>13</x:v>
      </x:c>
    </x:row>
    <x:row r="398" ht="22" customHeight="1">
      <x:c r="A398" s="68" t="str">
        <x:v>UP</x:v>
      </x:c>
      <x:c r="B398" s="68" t="str">
        <x:v>2026-02-19</x:v>
      </x:c>
      <x:c r="C398" s="68" t="n">
        <x:v>12</x:v>
      </x:c>
      <x:c r="D398" s="68" t="n">
        <x:v>52</x:v>
      </x:c>
      <x:c r="E398" s="68" t="n">
        <x:v>39</x:v>
      </x:c>
      <x:c r="F398" s="68" t="n">
        <x:v>62</x:v>
      </x:c>
      <x:c r="G398" s="68" t="n">
        <x:v>101</x:v>
      </x:c>
      <x:c r="H398" s="82" t="n">
        <x:v>1534.79998</x:v>
      </x:c>
      <x:c r="I398" s="82" t="n">
        <x:v>506.269659</x:v>
      </x:c>
      <x:c r="J398" s="82" t="n">
        <x:v>587.389794</x:v>
      </x:c>
      <x:c r="K398" s="68" t="n">
        <x:f>E398-D398</x:f>
        <x:v>-13</x:v>
      </x:c>
      <x:c r="L398" s="68" t="n">
        <x:f>ABS(K398)</x:f>
        <x:v>13</x:v>
      </x:c>
    </x:row>
    <x:row r="399" ht="22" customHeight="1">
      <x:c r="A399" s="68" t="str">
        <x:v>UP</x:v>
      </x:c>
      <x:c r="B399" s="68" t="str">
        <x:v>2026-02-19</x:v>
      </x:c>
      <x:c r="C399" s="68" t="n">
        <x:v>13</x:v>
      </x:c>
      <x:c r="D399" s="68" t="n">
        <x:v>45</x:v>
      </x:c>
      <x:c r="E399" s="68" t="n">
        <x:v>25</x:v>
      </x:c>
      <x:c r="F399" s="68" t="n">
        <x:v>48</x:v>
      </x:c>
      <x:c r="G399" s="68" t="n">
        <x:v>73</x:v>
      </x:c>
      <x:c r="H399" s="82" t="n">
        <x:v>1463.36667</x:v>
      </x:c>
      <x:c r="I399" s="82" t="n">
        <x:v>329.873002</x:v>
      </x:c>
      <x:c r="J399" s="82" t="n">
        <x:v>331.473848</x:v>
      </x:c>
      <x:c r="K399" s="68" t="n">
        <x:f>E399-D399</x:f>
        <x:v>-20</x:v>
      </x:c>
      <x:c r="L399" s="68" t="n">
        <x:f>ABS(K399)</x:f>
        <x:v>20</x:v>
      </x:c>
    </x:row>
    <x:row r="400" ht="22" customHeight="1">
      <x:c r="A400" s="68" t="str">
        <x:v>UP</x:v>
      </x:c>
      <x:c r="B400" s="68" t="str">
        <x:v>2026-02-19</x:v>
      </x:c>
      <x:c r="C400" s="68" t="n">
        <x:v>14</x:v>
      </x:c>
      <x:c r="D400" s="68" t="n">
        <x:v>44</x:v>
      </x:c>
      <x:c r="E400" s="68" t="n">
        <x:v>35</x:v>
      </x:c>
      <x:c r="F400" s="68" t="n">
        <x:v>55</x:v>
      </x:c>
      <x:c r="G400" s="68" t="n">
        <x:v>90</x:v>
      </x:c>
      <x:c r="H400" s="82" t="n">
        <x:v>1112.96666</x:v>
      </x:c>
      <x:c r="I400" s="82" t="n">
        <x:v>543.177778</x:v>
      </x:c>
      <x:c r="J400" s="82" t="n">
        <x:v>355.288203</x:v>
      </x:c>
      <x:c r="K400" s="68" t="n">
        <x:f>E400-D400</x:f>
        <x:v>-9</x:v>
      </x:c>
      <x:c r="L400" s="68" t="n">
        <x:f>ABS(K400)</x:f>
        <x:v>9</x:v>
      </x:c>
    </x:row>
    <x:row r="401" ht="22" customHeight="1">
      <x:c r="A401" s="68" t="str">
        <x:v>UP</x:v>
      </x:c>
      <x:c r="B401" s="68" t="str">
        <x:v>2026-02-19</x:v>
      </x:c>
      <x:c r="C401" s="68" t="n">
        <x:v>15</x:v>
      </x:c>
      <x:c r="D401" s="68" t="n">
        <x:v>56</x:v>
      </x:c>
      <x:c r="E401" s="68" t="n">
        <x:v>38</x:v>
      </x:c>
      <x:c r="F401" s="68" t="n">
        <x:v>48</x:v>
      </x:c>
      <x:c r="G401" s="68" t="n">
        <x:v>86</x:v>
      </x:c>
      <x:c r="H401" s="82" t="n">
        <x:v>1437.93333</x:v>
      </x:c>
      <x:c r="I401" s="82" t="n">
        <x:v>393.158987</x:v>
      </x:c>
      <x:c r="J401" s="82" t="n">
        <x:v>358.772772</x:v>
      </x:c>
      <x:c r="K401" s="68" t="n">
        <x:f>E401-D401</x:f>
        <x:v>-18</x:v>
      </x:c>
      <x:c r="L401" s="68" t="n">
        <x:f>ABS(K401)</x:f>
        <x:v>18</x:v>
      </x:c>
    </x:row>
    <x:row r="402" ht="22" customHeight="1">
      <x:c r="A402" s="68" t="str">
        <x:v>UP</x:v>
      </x:c>
      <x:c r="B402" s="68" t="str">
        <x:v>2026-02-19</x:v>
      </x:c>
      <x:c r="C402" s="68" t="n">
        <x:v>16</x:v>
      </x:c>
      <x:c r="D402" s="68" t="n">
        <x:v>47</x:v>
      </x:c>
      <x:c r="E402" s="68" t="n">
        <x:v>29</x:v>
      </x:c>
      <x:c r="F402" s="68" t="n">
        <x:v>38</x:v>
      </x:c>
      <x:c r="G402" s="68" t="n">
        <x:v>67</x:v>
      </x:c>
      <x:c r="H402" s="82" t="n">
        <x:v>1084.36668</x:v>
      </x:c>
      <x:c r="I402" s="82" t="n">
        <x:v>265.899262</x:v>
      </x:c>
      <x:c r="J402" s="82" t="n">
        <x:v>273.56237</x:v>
      </x:c>
      <x:c r="K402" s="68" t="n">
        <x:f>E402-D402</x:f>
        <x:v>-18</x:v>
      </x:c>
      <x:c r="L402" s="68" t="n">
        <x:f>ABS(K402)</x:f>
        <x:v>18</x:v>
      </x:c>
    </x:row>
    <x:row r="403" ht="22" customHeight="1">
      <x:c r="A403" s="68" t="str">
        <x:v>UP</x:v>
      </x:c>
      <x:c r="B403" s="68" t="str">
        <x:v>2026-02-19</x:v>
      </x:c>
      <x:c r="C403" s="68" t="n">
        <x:v>17</x:v>
      </x:c>
      <x:c r="D403" s="68" t="n">
        <x:v>43</x:v>
      </x:c>
      <x:c r="E403" s="68" t="n">
        <x:v>29</x:v>
      </x:c>
      <x:c r="F403" s="68" t="n">
        <x:v>37</x:v>
      </x:c>
      <x:c r="G403" s="68" t="n">
        <x:v>66</x:v>
      </x:c>
      <x:c r="H403" s="82" t="n">
        <x:v>1084.45</x:v>
      </x:c>
      <x:c r="I403" s="82" t="n">
        <x:v>321.813552</x:v>
      </x:c>
      <x:c r="J403" s="82" t="n">
        <x:v>236.736831</x:v>
      </x:c>
      <x:c r="K403" s="68" t="n">
        <x:f>E403-D403</x:f>
        <x:v>-14</x:v>
      </x:c>
      <x:c r="L403" s="68" t="n">
        <x:f>ABS(K403)</x:f>
        <x:v>14</x:v>
      </x:c>
    </x:row>
    <x:row r="404" ht="22" customHeight="1">
      <x:c r="A404" s="68" t="str">
        <x:v>UP</x:v>
      </x:c>
      <x:c r="B404" s="68" t="str">
        <x:v>2026-02-19</x:v>
      </x:c>
      <x:c r="C404" s="68" t="n">
        <x:v>18</x:v>
      </x:c>
      <x:c r="D404" s="68" t="n">
        <x:v>36</x:v>
      </x:c>
      <x:c r="E404" s="68" t="n">
        <x:v>28</x:v>
      </x:c>
      <x:c r="F404" s="68" t="n">
        <x:v>42</x:v>
      </x:c>
      <x:c r="G404" s="68" t="n">
        <x:v>70</x:v>
      </x:c>
      <x:c r="H404" s="82" t="n">
        <x:v>935.71667</x:v>
      </x:c>
      <x:c r="I404" s="82" t="n">
        <x:v>247.528295</x:v>
      </x:c>
      <x:c r="J404" s="82" t="n">
        <x:v>258.825004</x:v>
      </x:c>
      <x:c r="K404" s="68" t="n">
        <x:f>E404-D404</x:f>
        <x:v>-8</x:v>
      </x:c>
      <x:c r="L404" s="68" t="n">
        <x:f>ABS(K404)</x:f>
        <x:v>8</x:v>
      </x:c>
    </x:row>
    <x:row r="405" ht="22" customHeight="1">
      <x:c r="A405" s="68" t="str">
        <x:v>UP</x:v>
      </x:c>
      <x:c r="B405" s="68" t="str">
        <x:v>2026-02-19</x:v>
      </x:c>
      <x:c r="C405" s="68" t="n">
        <x:v>19</x:v>
      </x:c>
      <x:c r="D405" s="68" t="n">
        <x:v>32</x:v>
      </x:c>
      <x:c r="E405" s="68" t="n">
        <x:v>22</x:v>
      </x:c>
      <x:c r="F405" s="68" t="n">
        <x:v>43</x:v>
      </x:c>
      <x:c r="G405" s="68" t="n">
        <x:v>65</x:v>
      </x:c>
      <x:c r="H405" s="82" t="n">
        <x:v>934.78332</x:v>
      </x:c>
      <x:c r="I405" s="82" t="n">
        <x:v>297.666838</x:v>
      </x:c>
      <x:c r="J405" s="82" t="n">
        <x:v>308.833916</x:v>
      </x:c>
      <x:c r="K405" s="68" t="n">
        <x:f>E405-D405</x:f>
        <x:v>-10</x:v>
      </x:c>
      <x:c r="L405" s="68" t="n">
        <x:f>ABS(K405)</x:f>
        <x:v>10</x:v>
      </x:c>
    </x:row>
    <x:row r="406" ht="22" customHeight="1">
      <x:c r="A406" s="68" t="str">
        <x:v>UP</x:v>
      </x:c>
      <x:c r="B406" s="68" t="str">
        <x:v>2026-02-19</x:v>
      </x:c>
      <x:c r="C406" s="68" t="n">
        <x:v>20</x:v>
      </x:c>
      <x:c r="D406" s="68" t="n">
        <x:v>23</x:v>
      </x:c>
      <x:c r="E406" s="68" t="n">
        <x:v>31</x:v>
      </x:c>
      <x:c r="F406" s="68" t="n">
        <x:v>45</x:v>
      </x:c>
      <x:c r="G406" s="68" t="n">
        <x:v>76</x:v>
      </x:c>
      <x:c r="H406" s="82" t="n">
        <x:v>623.9</x:v>
      </x:c>
      <x:c r="I406" s="82" t="n">
        <x:v>278.603381</x:v>
      </x:c>
      <x:c r="J406" s="82" t="n">
        <x:v>320.180907</x:v>
      </x:c>
      <x:c r="K406" s="68" t="n">
        <x:f>E406-D406</x:f>
        <x:v>8</x:v>
      </x:c>
      <x:c r="L406" s="68" t="n">
        <x:f>ABS(K406)</x:f>
        <x:v>8</x:v>
      </x:c>
    </x:row>
    <x:row r="407" ht="22" customHeight="1">
      <x:c r="A407" s="68" t="str">
        <x:v>UP</x:v>
      </x:c>
      <x:c r="B407" s="68" t="str">
        <x:v>2026-02-19</x:v>
      </x:c>
      <x:c r="C407" s="68" t="n">
        <x:v>21</x:v>
      </x:c>
      <x:c r="D407" s="68" t="n">
        <x:v>16</x:v>
      </x:c>
      <x:c r="E407" s="68" t="n">
        <x:v>17</x:v>
      </x:c>
      <x:c r="F407" s="68" t="n">
        <x:v>29</x:v>
      </x:c>
      <x:c r="G407" s="68" t="n">
        <x:v>46</x:v>
      </x:c>
      <x:c r="H407" s="82" t="n">
        <x:v>492.85002</x:v>
      </x:c>
      <x:c r="I407" s="82" t="n">
        <x:v>186.695573</x:v>
      </x:c>
      <x:c r="J407" s="82" t="n">
        <x:v>188.011215</x:v>
      </x:c>
      <x:c r="K407" s="68" t="n">
        <x:f>E407-D407</x:f>
        <x:v>1</x:v>
      </x:c>
      <x:c r="L407" s="68" t="n">
        <x:f>ABS(K407)</x:f>
        <x:v>1</x:v>
      </x:c>
    </x:row>
    <x:row r="408" ht="22" customHeight="1">
      <x:c r="A408" s="68" t="str">
        <x:v>UP</x:v>
      </x:c>
      <x:c r="B408" s="68" t="str">
        <x:v>2026-02-19</x:v>
      </x:c>
      <x:c r="C408" s="68" t="n">
        <x:v>22</x:v>
      </x:c>
      <x:c r="D408" s="68" t="n">
        <x:v>13</x:v>
      </x:c>
      <x:c r="E408" s="68" t="n">
        <x:v>12</x:v>
      </x:c>
      <x:c r="F408" s="68" t="n">
        <x:v>26</x:v>
      </x:c>
      <x:c r="G408" s="68" t="n">
        <x:v>38</x:v>
      </x:c>
      <x:c r="H408" s="82" t="n">
        <x:v>261.66666</x:v>
      </x:c>
      <x:c r="I408" s="82" t="n">
        <x:v>155.542406</x:v>
      </x:c>
      <x:c r="J408" s="82" t="n">
        <x:v>207.240315</x:v>
      </x:c>
      <x:c r="K408" s="68" t="n">
        <x:f>E408-D408</x:f>
        <x:v>-1</x:v>
      </x:c>
      <x:c r="L408" s="68" t="n">
        <x:f>ABS(K408)</x:f>
        <x:v>1</x:v>
      </x:c>
    </x:row>
    <x:row r="409" ht="22" customHeight="1">
      <x:c r="A409" s="68" t="str">
        <x:v>UP</x:v>
      </x:c>
      <x:c r="B409" s="68" t="str">
        <x:v>2026-02-19</x:v>
      </x:c>
      <x:c r="C409" s="68" t="n">
        <x:v>23</x:v>
      </x:c>
      <x:c r="D409" s="68" t="n">
        <x:v>9</x:v>
      </x:c>
      <x:c r="E409" s="68" t="n">
        <x:v>8</x:v>
      </x:c>
      <x:c r="F409" s="68" t="n">
        <x:v>18</x:v>
      </x:c>
      <x:c r="G409" s="68" t="n">
        <x:v>26</x:v>
      </x:c>
      <x:c r="H409" s="82" t="n">
        <x:v>145.16667</x:v>
      </x:c>
      <x:c r="I409" s="82" t="n">
        <x:v>74.021698</x:v>
      </x:c>
      <x:c r="J409" s="82" t="n">
        <x:v>133.212955</x:v>
      </x:c>
      <x:c r="K409" s="68" t="n">
        <x:f>E409-D409</x:f>
        <x:v>-1</x:v>
      </x:c>
      <x:c r="L409" s="68" t="n">
        <x:f>ABS(K409)</x:f>
        <x:v>1</x:v>
      </x:c>
    </x:row>
    <x:row r="410" ht="22" customHeight="1">
      <x:c r="A410" s="68" t="str">
        <x:v>UP</x:v>
      </x:c>
      <x:c r="B410" s="68" t="str">
        <x:v>2026-02-20</x:v>
      </x:c>
      <x:c r="C410" s="68" t="n">
        <x:v>0</x:v>
      </x:c>
      <x:c r="D410" s="68" t="n">
        <x:v>8</x:v>
      </x:c>
      <x:c r="E410" s="68" t="n">
        <x:v>4</x:v>
      </x:c>
      <x:c r="F410" s="68" t="n">
        <x:v>4</x:v>
      </x:c>
      <x:c r="G410" s="68" t="n">
        <x:v>8</x:v>
      </x:c>
      <x:c r="H410" s="82" t="n">
        <x:v>271.49999</x:v>
      </x:c>
      <x:c r="I410" s="82" t="n">
        <x:v>14.3643</x:v>
      </x:c>
      <x:c r="J410" s="82" t="n">
        <x:v>33.107083</x:v>
      </x:c>
      <x:c r="K410" s="68" t="n">
        <x:f>E410-D410</x:f>
        <x:v>-4</x:v>
      </x:c>
      <x:c r="L410" s="68" t="n">
        <x:f>ABS(K410)</x:f>
        <x:v>4</x:v>
      </x:c>
    </x:row>
    <x:row r="411" ht="22" customHeight="1">
      <x:c r="A411" s="68" t="str">
        <x:v>UP</x:v>
      </x:c>
      <x:c r="B411" s="68" t="str">
        <x:v>2026-02-20</x:v>
      </x:c>
      <x:c r="C411" s="68" t="n">
        <x:v>1</x:v>
      </x:c>
      <x:c r="D411" s="68" t="n">
        <x:v>14</x:v>
      </x:c>
      <x:c r="E411" s="68" t="n">
        <x:v>6</x:v>
      </x:c>
      <x:c r="F411" s="68" t="n">
        <x:v>6</x:v>
      </x:c>
      <x:c r="G411" s="68" t="n">
        <x:v>12</x:v>
      </x:c>
      <x:c r="H411" s="82" t="n">
        <x:v>303.25</x:v>
      </x:c>
      <x:c r="I411" s="82" t="n">
        <x:v>70.075806</x:v>
      </x:c>
      <x:c r="J411" s="82" t="n">
        <x:v>26.911452</x:v>
      </x:c>
      <x:c r="K411" s="68" t="n">
        <x:f>E411-D411</x:f>
        <x:v>-8</x:v>
      </x:c>
      <x:c r="L411" s="68" t="n">
        <x:f>ABS(K411)</x:f>
        <x:v>8</x:v>
      </x:c>
    </x:row>
    <x:row r="412" ht="22" customHeight="1">
      <x:c r="A412" s="68" t="str">
        <x:v>UP</x:v>
      </x:c>
      <x:c r="B412" s="68" t="str">
        <x:v>2026-02-20</x:v>
      </x:c>
      <x:c r="C412" s="68" t="n">
        <x:v>2</x:v>
      </x:c>
      <x:c r="D412" s="68" t="n">
        <x:v>10</x:v>
      </x:c>
      <x:c r="E412" s="68" t="n">
        <x:v>7</x:v>
      </x:c>
      <x:c r="F412" s="68" t="n">
        <x:v>15</x:v>
      </x:c>
      <x:c r="G412" s="68" t="n">
        <x:v>22</x:v>
      </x:c>
      <x:c r="H412" s="82" t="n">
        <x:v>287.03333</x:v>
      </x:c>
      <x:c r="I412" s="82" t="n">
        <x:v>119.080282</x:v>
      </x:c>
      <x:c r="J412" s="82" t="n">
        <x:v>63.312482</x:v>
      </x:c>
      <x:c r="K412" s="68" t="n">
        <x:f>E412-D412</x:f>
        <x:v>-3</x:v>
      </x:c>
      <x:c r="L412" s="68" t="n">
        <x:f>ABS(K412)</x:f>
        <x:v>3</x:v>
      </x:c>
    </x:row>
    <x:row r="413" ht="22" customHeight="1">
      <x:c r="A413" s="68" t="str">
        <x:v>UP</x:v>
      </x:c>
      <x:c r="B413" s="68" t="str">
        <x:v>2026-02-20</x:v>
      </x:c>
      <x:c r="C413" s="68" t="n">
        <x:v>3</x:v>
      </x:c>
      <x:c r="D413" s="68" t="n">
        <x:v>9</x:v>
      </x:c>
      <x:c r="E413" s="68" t="n">
        <x:v>9</x:v>
      </x:c>
      <x:c r="F413" s="68" t="n">
        <x:v>6</x:v>
      </x:c>
      <x:c r="G413" s="68" t="n">
        <x:v>15</x:v>
      </x:c>
      <x:c r="H413" s="82" t="n">
        <x:v>279.64999</x:v>
      </x:c>
      <x:c r="I413" s="82" t="n">
        <x:v>92.591236</x:v>
      </x:c>
      <x:c r="J413" s="82" t="n">
        <x:v>30.019243</x:v>
      </x:c>
      <x:c r="K413" s="68" t="n">
        <x:f>E413-D413</x:f>
        <x:v>0</x:v>
      </x:c>
      <x:c r="L413" s="68" t="n">
        <x:f>ABS(K413)</x:f>
        <x:v>0</x:v>
      </x:c>
    </x:row>
    <x:row r="414" ht="22" customHeight="1">
      <x:c r="A414" s="68" t="str">
        <x:v>UP</x:v>
      </x:c>
      <x:c r="B414" s="68" t="str">
        <x:v>2026-02-20</x:v>
      </x:c>
      <x:c r="C414" s="68" t="n">
        <x:v>4</x:v>
      </x:c>
      <x:c r="D414" s="68" t="n">
        <x:v>5</x:v>
      </x:c>
      <x:c r="E414" s="68" t="n">
        <x:v>15</x:v>
      </x:c>
      <x:c r="F414" s="68" t="n">
        <x:v>9</x:v>
      </x:c>
      <x:c r="G414" s="68" t="n">
        <x:v>24</x:v>
      </x:c>
      <x:c r="H414" s="82" t="n">
        <x:v>202.21666</x:v>
      </x:c>
      <x:c r="I414" s="82" t="n">
        <x:v>213.998196</x:v>
      </x:c>
      <x:c r="J414" s="82" t="n">
        <x:v>98.137767</x:v>
      </x:c>
      <x:c r="K414" s="68" t="n">
        <x:f>E414-D414</x:f>
        <x:v>10</x:v>
      </x:c>
      <x:c r="L414" s="68" t="n">
        <x:f>ABS(K414)</x:f>
        <x:v>10</x:v>
      </x:c>
    </x:row>
    <x:row r="415" ht="22" customHeight="1">
      <x:c r="A415" s="68" t="str">
        <x:v>UP</x:v>
      </x:c>
      <x:c r="B415" s="68" t="str">
        <x:v>2026-02-20</x:v>
      </x:c>
      <x:c r="C415" s="68" t="n">
        <x:v>5</x:v>
      </x:c>
      <x:c r="D415" s="68" t="n">
        <x:v>9</x:v>
      </x:c>
      <x:c r="E415" s="68" t="n">
        <x:v>10</x:v>
      </x:c>
      <x:c r="F415" s="68" t="n">
        <x:v>12</x:v>
      </x:c>
      <x:c r="G415" s="68" t="n">
        <x:v>22</x:v>
      </x:c>
      <x:c r="H415" s="82" t="n">
        <x:v>275.46666</x:v>
      </x:c>
      <x:c r="I415" s="82" t="n">
        <x:v>114.251059</x:v>
      </x:c>
      <x:c r="J415" s="82" t="n">
        <x:v>137.242511</x:v>
      </x:c>
      <x:c r="K415" s="68" t="n">
        <x:f>E415-D415</x:f>
        <x:v>1</x:v>
      </x:c>
      <x:c r="L415" s="68" t="n">
        <x:f>ABS(K415)</x:f>
        <x:v>1</x:v>
      </x:c>
    </x:row>
    <x:row r="416" ht="22" customHeight="1">
      <x:c r="A416" s="68" t="str">
        <x:v>UP</x:v>
      </x:c>
      <x:c r="B416" s="68" t="str">
        <x:v>2026-02-20</x:v>
      </x:c>
      <x:c r="C416" s="68" t="n">
        <x:v>6</x:v>
      </x:c>
      <x:c r="D416" s="68" t="n">
        <x:v>13</x:v>
      </x:c>
      <x:c r="E416" s="68" t="n">
        <x:v>10</x:v>
      </x:c>
      <x:c r="F416" s="68" t="n">
        <x:v>21</x:v>
      </x:c>
      <x:c r="G416" s="68" t="n">
        <x:v>31</x:v>
      </x:c>
      <x:c r="H416" s="82" t="n">
        <x:v>407.8</x:v>
      </x:c>
      <x:c r="I416" s="82" t="n">
        <x:v>125.634515</x:v>
      </x:c>
      <x:c r="J416" s="82" t="n">
        <x:v>78.967506</x:v>
      </x:c>
      <x:c r="K416" s="68" t="n">
        <x:f>E416-D416</x:f>
        <x:v>-3</x:v>
      </x:c>
      <x:c r="L416" s="68" t="n">
        <x:f>ABS(K416)</x:f>
        <x:v>3</x:v>
      </x:c>
    </x:row>
    <x:row r="417" ht="22" customHeight="1">
      <x:c r="A417" s="68" t="str">
        <x:v>UP</x:v>
      </x:c>
      <x:c r="B417" s="68" t="str">
        <x:v>2026-02-20</x:v>
      </x:c>
      <x:c r="C417" s="68" t="n">
        <x:v>7</x:v>
      </x:c>
      <x:c r="D417" s="68" t="n">
        <x:v>21</x:v>
      </x:c>
      <x:c r="E417" s="68" t="n">
        <x:v>14</x:v>
      </x:c>
      <x:c r="F417" s="68" t="n">
        <x:v>29</x:v>
      </x:c>
      <x:c r="G417" s="68" t="n">
        <x:v>43</x:v>
      </x:c>
      <x:c r="H417" s="82" t="n">
        <x:v>614.71667</x:v>
      </x:c>
      <x:c r="I417" s="82" t="n">
        <x:v>157.716725</x:v>
      </x:c>
      <x:c r="J417" s="82" t="n">
        <x:v>172.741589</x:v>
      </x:c>
      <x:c r="K417" s="68" t="n">
        <x:f>E417-D417</x:f>
        <x:v>-7</x:v>
      </x:c>
      <x:c r="L417" s="68" t="n">
        <x:f>ABS(K417)</x:f>
        <x:v>7</x:v>
      </x:c>
    </x:row>
    <x:row r="418" ht="22" customHeight="1">
      <x:c r="A418" s="68" t="str">
        <x:v>UP</x:v>
      </x:c>
      <x:c r="B418" s="68" t="str">
        <x:v>2026-02-20</x:v>
      </x:c>
      <x:c r="C418" s="68" t="n">
        <x:v>8</x:v>
      </x:c>
      <x:c r="D418" s="68" t="n">
        <x:v>33</x:v>
      </x:c>
      <x:c r="E418" s="68" t="n">
        <x:v>23</x:v>
      </x:c>
      <x:c r="F418" s="68" t="n">
        <x:v>28</x:v>
      </x:c>
      <x:c r="G418" s="68" t="n">
        <x:v>51</x:v>
      </x:c>
      <x:c r="H418" s="82" t="n">
        <x:v>874.96667</x:v>
      </x:c>
      <x:c r="I418" s="82" t="n">
        <x:v>177.326426</x:v>
      </x:c>
      <x:c r="J418" s="82" t="n">
        <x:v>172.647134</x:v>
      </x:c>
      <x:c r="K418" s="68" t="n">
        <x:f>E418-D418</x:f>
        <x:v>-10</x:v>
      </x:c>
      <x:c r="L418" s="68" t="n">
        <x:f>ABS(K418)</x:f>
        <x:v>10</x:v>
      </x:c>
    </x:row>
    <x:row r="419" ht="22" customHeight="1">
      <x:c r="A419" s="68" t="str">
        <x:v>UP</x:v>
      </x:c>
      <x:c r="B419" s="68" t="str">
        <x:v>2026-02-20</x:v>
      </x:c>
      <x:c r="C419" s="68" t="n">
        <x:v>9</x:v>
      </x:c>
      <x:c r="D419" s="68" t="n">
        <x:v>22</x:v>
      </x:c>
      <x:c r="E419" s="68" t="n">
        <x:v>18</x:v>
      </x:c>
      <x:c r="F419" s="68" t="n">
        <x:v>39</x:v>
      </x:c>
      <x:c r="G419" s="68" t="n">
        <x:v>57</x:v>
      </x:c>
      <x:c r="H419" s="82" t="n">
        <x:v>911.65</x:v>
      </x:c>
      <x:c r="I419" s="82" t="n">
        <x:v>274.756969</x:v>
      </x:c>
      <x:c r="J419" s="82" t="n">
        <x:v>278.14983</x:v>
      </x:c>
      <x:c r="K419" s="68" t="n">
        <x:f>E419-D419</x:f>
        <x:v>-4</x:v>
      </x:c>
      <x:c r="L419" s="68" t="n">
        <x:f>ABS(K419)</x:f>
        <x:v>4</x:v>
      </x:c>
    </x:row>
    <x:row r="420" ht="22" customHeight="1">
      <x:c r="A420" s="68" t="str">
        <x:v>UP</x:v>
      </x:c>
      <x:c r="B420" s="68" t="str">
        <x:v>2026-02-20</x:v>
      </x:c>
      <x:c r="C420" s="68" t="n">
        <x:v>10</x:v>
      </x:c>
      <x:c r="D420" s="68" t="n">
        <x:v>29</x:v>
      </x:c>
      <x:c r="E420" s="68" t="n">
        <x:v>21</x:v>
      </x:c>
      <x:c r="F420" s="68" t="n">
        <x:v>28</x:v>
      </x:c>
      <x:c r="G420" s="68" t="n">
        <x:v>49</x:v>
      </x:c>
      <x:c r="H420" s="82" t="n">
        <x:v>934.66668</x:v>
      </x:c>
      <x:c r="I420" s="82" t="n">
        <x:v>207.100372</x:v>
      </x:c>
      <x:c r="J420" s="82" t="n">
        <x:v>233.607664</x:v>
      </x:c>
      <x:c r="K420" s="68" t="n">
        <x:f>E420-D420</x:f>
        <x:v>-8</x:v>
      </x:c>
      <x:c r="L420" s="68" t="n">
        <x:f>ABS(K420)</x:f>
        <x:v>8</x:v>
      </x:c>
    </x:row>
    <x:row r="421" ht="22" customHeight="1">
      <x:c r="A421" s="68" t="str">
        <x:v>UP</x:v>
      </x:c>
      <x:c r="B421" s="68" t="str">
        <x:v>2026-02-20</x:v>
      </x:c>
      <x:c r="C421" s="68" t="n">
        <x:v>11</x:v>
      </x:c>
      <x:c r="D421" s="68" t="n">
        <x:v>47</x:v>
      </x:c>
      <x:c r="E421" s="68" t="n">
        <x:v>20</x:v>
      </x:c>
      <x:c r="F421" s="68" t="n">
        <x:v>29</x:v>
      </x:c>
      <x:c r="G421" s="68" t="n">
        <x:v>49</x:v>
      </x:c>
      <x:c r="H421" s="82" t="n">
        <x:v>1144.56667</x:v>
      </x:c>
      <x:c r="I421" s="82" t="n">
        <x:v>263.428317</x:v>
      </x:c>
      <x:c r="J421" s="82" t="n">
        <x:v>192.363308</x:v>
      </x:c>
      <x:c r="K421" s="68" t="n">
        <x:f>E421-D421</x:f>
        <x:v>-27</x:v>
      </x:c>
      <x:c r="L421" s="68" t="n">
        <x:f>ABS(K421)</x:f>
        <x:v>27</x:v>
      </x:c>
    </x:row>
    <x:row r="422" ht="22" customHeight="1">
      <x:c r="A422" s="68" t="str">
        <x:v>UP</x:v>
      </x:c>
      <x:c r="B422" s="68" t="str">
        <x:v>2026-02-20</x:v>
      </x:c>
      <x:c r="C422" s="68" t="n">
        <x:v>12</x:v>
      </x:c>
      <x:c r="D422" s="68" t="n">
        <x:v>61</x:v>
      </x:c>
      <x:c r="E422" s="68" t="n">
        <x:v>20</x:v>
      </x:c>
      <x:c r="F422" s="68" t="n">
        <x:v>37</x:v>
      </x:c>
      <x:c r="G422" s="68" t="n">
        <x:v>57</x:v>
      </x:c>
      <x:c r="H422" s="82" t="n">
        <x:v>1725.8</x:v>
      </x:c>
      <x:c r="I422" s="82" t="n">
        <x:v>317.771618</x:v>
      </x:c>
      <x:c r="J422" s="82" t="n">
        <x:v>325.538837</x:v>
      </x:c>
      <x:c r="K422" s="68" t="n">
        <x:f>E422-D422</x:f>
        <x:v>-41</x:v>
      </x:c>
      <x:c r="L422" s="68" t="n">
        <x:f>ABS(K422)</x:f>
        <x:v>41</x:v>
      </x:c>
    </x:row>
    <x:row r="423" ht="22" customHeight="1">
      <x:c r="A423" s="68" t="str">
        <x:v>UP</x:v>
      </x:c>
      <x:c r="B423" s="68" t="str">
        <x:v>2026-02-20</x:v>
      </x:c>
      <x:c r="C423" s="68" t="n">
        <x:v>13</x:v>
      </x:c>
      <x:c r="D423" s="68" t="n">
        <x:v>49</x:v>
      </x:c>
      <x:c r="E423" s="68" t="n">
        <x:v>28</x:v>
      </x:c>
      <x:c r="F423" s="68" t="n">
        <x:v>56</x:v>
      </x:c>
      <x:c r="G423" s="68" t="n">
        <x:v>84</x:v>
      </x:c>
      <x:c r="H423" s="82" t="n">
        <x:v>1457.34999</x:v>
      </x:c>
      <x:c r="I423" s="82" t="n">
        <x:v>287.43761</x:v>
      </x:c>
      <x:c r="J423" s="82" t="n">
        <x:v>381.426544</x:v>
      </x:c>
      <x:c r="K423" s="68" t="n">
        <x:f>E423-D423</x:f>
        <x:v>-21</x:v>
      </x:c>
      <x:c r="L423" s="68" t="n">
        <x:f>ABS(K423)</x:f>
        <x:v>21</x:v>
      </x:c>
    </x:row>
    <x:row r="424" ht="22" customHeight="1">
      <x:c r="A424" s="68" t="str">
        <x:v>UP</x:v>
      </x:c>
      <x:c r="B424" s="68" t="str">
        <x:v>2026-02-20</x:v>
      </x:c>
      <x:c r="C424" s="68" t="n">
        <x:v>14</x:v>
      </x:c>
      <x:c r="D424" s="68" t="n">
        <x:v>51</x:v>
      </x:c>
      <x:c r="E424" s="68" t="n">
        <x:v>27</x:v>
      </x:c>
      <x:c r="F424" s="68" t="n">
        <x:v>43</x:v>
      </x:c>
      <x:c r="G424" s="68" t="n">
        <x:v>70</x:v>
      </x:c>
      <x:c r="H424" s="82" t="n">
        <x:v>1238.46667</x:v>
      </x:c>
      <x:c r="I424" s="82" t="n">
        <x:v>390.658157</x:v>
      </x:c>
      <x:c r="J424" s="82" t="n">
        <x:v>294.232438</x:v>
      </x:c>
      <x:c r="K424" s="68" t="n">
        <x:f>E424-D424</x:f>
        <x:v>-24</x:v>
      </x:c>
      <x:c r="L424" s="68" t="n">
        <x:f>ABS(K424)</x:f>
        <x:v>24</x:v>
      </x:c>
    </x:row>
    <x:row r="425" ht="22" customHeight="1">
      <x:c r="A425" s="68" t="str">
        <x:v>UP</x:v>
      </x:c>
      <x:c r="B425" s="68" t="str">
        <x:v>2026-02-20</x:v>
      </x:c>
      <x:c r="C425" s="68" t="n">
        <x:v>15</x:v>
      </x:c>
      <x:c r="D425" s="68" t="n">
        <x:v>42</x:v>
      </x:c>
      <x:c r="E425" s="68" t="n">
        <x:v>23</x:v>
      </x:c>
      <x:c r="F425" s="68" t="n">
        <x:v>52</x:v>
      </x:c>
      <x:c r="G425" s="68" t="n">
        <x:v>75</x:v>
      </x:c>
      <x:c r="H425" s="82" t="n">
        <x:v>1057.10001</x:v>
      </x:c>
      <x:c r="I425" s="82" t="n">
        <x:v>252.36839</x:v>
      </x:c>
      <x:c r="J425" s="82" t="n">
        <x:v>379.529602</x:v>
      </x:c>
      <x:c r="K425" s="68" t="n">
        <x:f>E425-D425</x:f>
        <x:v>-19</x:v>
      </x:c>
      <x:c r="L425" s="68" t="n">
        <x:f>ABS(K425)</x:f>
        <x:v>19</x:v>
      </x:c>
    </x:row>
    <x:row r="426" ht="22" customHeight="1">
      <x:c r="A426" s="68" t="str">
        <x:v>UP</x:v>
      </x:c>
      <x:c r="B426" s="68" t="str">
        <x:v>2026-02-20</x:v>
      </x:c>
      <x:c r="C426" s="68" t="n">
        <x:v>16</x:v>
      </x:c>
      <x:c r="D426" s="68" t="n">
        <x:v>39</x:v>
      </x:c>
      <x:c r="E426" s="68" t="n">
        <x:v>30</x:v>
      </x:c>
      <x:c r="F426" s="68" t="n">
        <x:v>44</x:v>
      </x:c>
      <x:c r="G426" s="68" t="n">
        <x:v>74</x:v>
      </x:c>
      <x:c r="H426" s="82" t="n">
        <x:v>891.16667</x:v>
      </x:c>
      <x:c r="I426" s="82" t="n">
        <x:v>303.396106</x:v>
      </x:c>
      <x:c r="J426" s="82" t="n">
        <x:v>273.62076</x:v>
      </x:c>
      <x:c r="K426" s="68" t="n">
        <x:f>E426-D426</x:f>
        <x:v>-9</x:v>
      </x:c>
      <x:c r="L426" s="68" t="n">
        <x:f>ABS(K426)</x:f>
        <x:v>9</x:v>
      </x:c>
    </x:row>
    <x:row r="427" ht="22" customHeight="1">
      <x:c r="A427" s="68" t="str">
        <x:v>UP</x:v>
      </x:c>
      <x:c r="B427" s="68" t="str">
        <x:v>2026-02-20</x:v>
      </x:c>
      <x:c r="C427" s="68" t="n">
        <x:v>17</x:v>
      </x:c>
      <x:c r="D427" s="68" t="n">
        <x:v>32</x:v>
      </x:c>
      <x:c r="E427" s="68" t="n">
        <x:v>28</x:v>
      </x:c>
      <x:c r="F427" s="68" t="n">
        <x:v>38</x:v>
      </x:c>
      <x:c r="G427" s="68" t="n">
        <x:v>66</x:v>
      </x:c>
      <x:c r="H427" s="82" t="n">
        <x:v>864.73333</x:v>
      </x:c>
      <x:c r="I427" s="82" t="n">
        <x:v>305.496313</x:v>
      </x:c>
      <x:c r="J427" s="82" t="n">
        <x:v>314.483831</x:v>
      </x:c>
      <x:c r="K427" s="68" t="n">
        <x:f>E427-D427</x:f>
        <x:v>-4</x:v>
      </x:c>
      <x:c r="L427" s="68" t="n">
        <x:f>ABS(K427)</x:f>
        <x:v>4</x:v>
      </x:c>
    </x:row>
    <x:row r="428" ht="22" customHeight="1">
      <x:c r="A428" s="68" t="str">
        <x:v>UP</x:v>
      </x:c>
      <x:c r="B428" s="68" t="str">
        <x:v>2026-02-20</x:v>
      </x:c>
      <x:c r="C428" s="68" t="n">
        <x:v>18</x:v>
      </x:c>
      <x:c r="D428" s="68" t="n">
        <x:v>35</x:v>
      </x:c>
      <x:c r="E428" s="68" t="n">
        <x:v>32</x:v>
      </x:c>
      <x:c r="F428" s="68" t="n">
        <x:v>47</x:v>
      </x:c>
      <x:c r="G428" s="68" t="n">
        <x:v>79</x:v>
      </x:c>
      <x:c r="H428" s="82" t="n">
        <x:v>919.60001</x:v>
      </x:c>
      <x:c r="I428" s="82" t="n">
        <x:v>352.889751</x:v>
      </x:c>
      <x:c r="J428" s="82" t="n">
        <x:v>307.743104</x:v>
      </x:c>
      <x:c r="K428" s="68" t="n">
        <x:f>E428-D428</x:f>
        <x:v>-3</x:v>
      </x:c>
      <x:c r="L428" s="68" t="n">
        <x:f>ABS(K428)</x:f>
        <x:v>3</x:v>
      </x:c>
    </x:row>
    <x:row r="429" ht="22" customHeight="1">
      <x:c r="A429" s="68" t="str">
        <x:v>UP</x:v>
      </x:c>
      <x:c r="B429" s="68" t="str">
        <x:v>2026-02-20</x:v>
      </x:c>
      <x:c r="C429" s="68" t="n">
        <x:v>19</x:v>
      </x:c>
      <x:c r="D429" s="68" t="n">
        <x:v>31</x:v>
      </x:c>
      <x:c r="E429" s="68" t="n">
        <x:v>25</x:v>
      </x:c>
      <x:c r="F429" s="68" t="n">
        <x:v>54</x:v>
      </x:c>
      <x:c r="G429" s="68" t="n">
        <x:v>79</x:v>
      </x:c>
      <x:c r="H429" s="82" t="n">
        <x:v>727.71666</x:v>
      </x:c>
      <x:c r="I429" s="82" t="n">
        <x:v>226.714957</x:v>
      </x:c>
      <x:c r="J429" s="82" t="n">
        <x:v>384.483476</x:v>
      </x:c>
      <x:c r="K429" s="68" t="n">
        <x:f>E429-D429</x:f>
        <x:v>-6</x:v>
      </x:c>
      <x:c r="L429" s="68" t="n">
        <x:f>ABS(K429)</x:f>
        <x:v>6</x:v>
      </x:c>
    </x:row>
    <x:row r="430" ht="22" customHeight="1">
      <x:c r="A430" s="68" t="str">
        <x:v>UP</x:v>
      </x:c>
      <x:c r="B430" s="68" t="str">
        <x:v>2026-02-20</x:v>
      </x:c>
      <x:c r="C430" s="68" t="n">
        <x:v>20</x:v>
      </x:c>
      <x:c r="D430" s="68" t="n">
        <x:v>26</x:v>
      </x:c>
      <x:c r="E430" s="68" t="n">
        <x:v>24</x:v>
      </x:c>
      <x:c r="F430" s="68" t="n">
        <x:v>35</x:v>
      </x:c>
      <x:c r="G430" s="68" t="n">
        <x:v>59</x:v>
      </x:c>
      <x:c r="H430" s="82" t="n">
        <x:v>734.73332</x:v>
      </x:c>
      <x:c r="I430" s="82" t="n">
        <x:v>250.437998</x:v>
      </x:c>
      <x:c r="J430" s="82" t="n">
        <x:v>296.279142</x:v>
      </x:c>
      <x:c r="K430" s="68" t="n">
        <x:f>E430-D430</x:f>
        <x:v>-2</x:v>
      </x:c>
      <x:c r="L430" s="68" t="n">
        <x:f>ABS(K430)</x:f>
        <x:v>2</x:v>
      </x:c>
    </x:row>
    <x:row r="431" ht="22" customHeight="1">
      <x:c r="A431" s="68" t="str">
        <x:v>UP</x:v>
      </x:c>
      <x:c r="B431" s="68" t="str">
        <x:v>2026-02-20</x:v>
      </x:c>
      <x:c r="C431" s="68" t="n">
        <x:v>21</x:v>
      </x:c>
      <x:c r="D431" s="68" t="n">
        <x:v>22</x:v>
      </x:c>
      <x:c r="E431" s="68" t="n">
        <x:v>20</x:v>
      </x:c>
      <x:c r="F431" s="68" t="n">
        <x:v>35</x:v>
      </x:c>
      <x:c r="G431" s="68" t="n">
        <x:v>55</x:v>
      </x:c>
      <x:c r="H431" s="82" t="n">
        <x:v>634.34999</x:v>
      </x:c>
      <x:c r="I431" s="82" t="n">
        <x:v>236.839994</x:v>
      </x:c>
      <x:c r="J431" s="82" t="n">
        <x:v>309.560279</x:v>
      </x:c>
      <x:c r="K431" s="68" t="n">
        <x:f>E431-D431</x:f>
        <x:v>-2</x:v>
      </x:c>
      <x:c r="L431" s="68" t="n">
        <x:f>ABS(K431)</x:f>
        <x:v>2</x:v>
      </x:c>
    </x:row>
    <x:row r="432" ht="22" customHeight="1">
      <x:c r="A432" s="68" t="str">
        <x:v>UP</x:v>
      </x:c>
      <x:c r="B432" s="68" t="str">
        <x:v>2026-02-20</x:v>
      </x:c>
      <x:c r="C432" s="68" t="n">
        <x:v>22</x:v>
      </x:c>
      <x:c r="D432" s="68" t="n">
        <x:v>19</x:v>
      </x:c>
      <x:c r="E432" s="68" t="n">
        <x:v>18</x:v>
      </x:c>
      <x:c r="F432" s="68" t="n">
        <x:v>26</x:v>
      </x:c>
      <x:c r="G432" s="68" t="n">
        <x:v>44</x:v>
      </x:c>
      <x:c r="H432" s="82" t="n">
        <x:v>453.7</x:v>
      </x:c>
      <x:c r="I432" s="82" t="n">
        <x:v>281.654133</x:v>
      </x:c>
      <x:c r="J432" s="82" t="n">
        <x:v>155.340745</x:v>
      </x:c>
      <x:c r="K432" s="68" t="n">
        <x:f>E432-D432</x:f>
        <x:v>-1</x:v>
      </x:c>
      <x:c r="L432" s="68" t="n">
        <x:f>ABS(K432)</x:f>
        <x:v>1</x:v>
      </x:c>
    </x:row>
    <x:row r="433" ht="22" customHeight="1">
      <x:c r="A433" s="68" t="str">
        <x:v>UP</x:v>
      </x:c>
      <x:c r="B433" s="68" t="str">
        <x:v>2026-02-20</x:v>
      </x:c>
      <x:c r="C433" s="68" t="n">
        <x:v>23</x:v>
      </x:c>
      <x:c r="D433" s="68" t="n">
        <x:v>16</x:v>
      </x:c>
      <x:c r="E433" s="68" t="n">
        <x:v>21</x:v>
      </x:c>
      <x:c r="F433" s="68" t="n">
        <x:v>21</x:v>
      </x:c>
      <x:c r="G433" s="68" t="n">
        <x:v>42</x:v>
      </x:c>
      <x:c r="H433" s="82" t="n">
        <x:v>371.96667</x:v>
      </x:c>
      <x:c r="I433" s="82" t="n">
        <x:v>327.520976</x:v>
      </x:c>
      <x:c r="J433" s="82" t="n">
        <x:v>182.80379</x:v>
      </x:c>
      <x:c r="K433" s="68" t="n">
        <x:f>E433-D433</x:f>
        <x:v>5</x:v>
      </x:c>
      <x:c r="L433" s="68" t="n">
        <x:f>ABS(K433)</x:f>
        <x:v>5</x:v>
      </x:c>
    </x:row>
    <x:row r="434" ht="22" customHeight="1">
      <x:c r="A434" s="68" t="str">
        <x:v>UP</x:v>
      </x:c>
      <x:c r="B434" s="68" t="str">
        <x:v>2026-02-21</x:v>
      </x:c>
      <x:c r="C434" s="68" t="n">
        <x:v>0</x:v>
      </x:c>
      <x:c r="D434" s="68" t="n">
        <x:v>13</x:v>
      </x:c>
      <x:c r="E434" s="68" t="n">
        <x:v>0</x:v>
      </x:c>
      <x:c r="F434" s="68" t="n">
        <x:v>5</x:v>
      </x:c>
      <x:c r="G434" s="68" t="n">
        <x:v>5</x:v>
      </x:c>
      <x:c r="H434" s="82" t="n">
        <x:v>300.15</x:v>
      </x:c>
      <x:c r="I434" s="82" t="n">
        <x:v>0</x:v>
      </x:c>
      <x:c r="J434" s="82" t="n">
        <x:v>19.482057</x:v>
      </x:c>
      <x:c r="K434" s="68" t="n">
        <x:f>E434-D434</x:f>
        <x:v>-13</x:v>
      </x:c>
      <x:c r="L434" s="68" t="n">
        <x:f>ABS(K434)</x:f>
        <x:v>13</x:v>
      </x:c>
    </x:row>
    <x:row r="435" ht="22" customHeight="1">
      <x:c r="A435" s="68" t="str">
        <x:v>UP</x:v>
      </x:c>
      <x:c r="B435" s="68" t="str">
        <x:v>2026-02-21</x:v>
      </x:c>
      <x:c r="C435" s="68" t="n">
        <x:v>1</x:v>
      </x:c>
      <x:c r="D435" s="68" t="n">
        <x:v>11</x:v>
      </x:c>
      <x:c r="E435" s="68" t="n">
        <x:v>6</x:v>
      </x:c>
      <x:c r="F435" s="68" t="n">
        <x:v>16</x:v>
      </x:c>
      <x:c r="G435" s="68" t="n">
        <x:v>22</x:v>
      </x:c>
      <x:c r="H435" s="82" t="n">
        <x:v>301.36667</x:v>
      </x:c>
      <x:c r="I435" s="82" t="n">
        <x:v>45.402803</x:v>
      </x:c>
      <x:c r="J435" s="82" t="n">
        <x:v>82.854763</x:v>
      </x:c>
      <x:c r="K435" s="68" t="n">
        <x:f>E435-D435</x:f>
        <x:v>-5</x:v>
      </x:c>
      <x:c r="L435" s="68" t="n">
        <x:f>ABS(K435)</x:f>
        <x:v>5</x:v>
      </x:c>
    </x:row>
    <x:row r="436" ht="22" customHeight="1">
      <x:c r="A436" s="68" t="str">
        <x:v>UP</x:v>
      </x:c>
      <x:c r="B436" s="68" t="str">
        <x:v>2026-02-21</x:v>
      </x:c>
      <x:c r="C436" s="68" t="n">
        <x:v>2</x:v>
      </x:c>
      <x:c r="D436" s="68" t="n">
        <x:v>6</x:v>
      </x:c>
      <x:c r="E436" s="68" t="n">
        <x:v>7</x:v>
      </x:c>
      <x:c r="F436" s="68" t="n">
        <x:v>4</x:v>
      </x:c>
      <x:c r="G436" s="68" t="n">
        <x:v>11</x:v>
      </x:c>
      <x:c r="H436" s="82" t="n">
        <x:v>122.65</x:v>
      </x:c>
      <x:c r="I436" s="82" t="n">
        <x:v>86.855308</x:v>
      </x:c>
      <x:c r="J436" s="82" t="n">
        <x:v>50.714704</x:v>
      </x:c>
      <x:c r="K436" s="68" t="n">
        <x:f>E436-D436</x:f>
        <x:v>1</x:v>
      </x:c>
      <x:c r="L436" s="68" t="n">
        <x:f>ABS(K436)</x:f>
        <x:v>1</x:v>
      </x:c>
    </x:row>
    <x:row r="437" ht="22" customHeight="1">
      <x:c r="A437" s="68" t="str">
        <x:v>UP</x:v>
      </x:c>
      <x:c r="B437" s="68" t="str">
        <x:v>2026-02-21</x:v>
      </x:c>
      <x:c r="C437" s="68" t="n">
        <x:v>3</x:v>
      </x:c>
      <x:c r="D437" s="68" t="n">
        <x:v>6</x:v>
      </x:c>
      <x:c r="E437" s="68" t="n">
        <x:v>4</x:v>
      </x:c>
      <x:c r="F437" s="68" t="n">
        <x:v>8</x:v>
      </x:c>
      <x:c r="G437" s="68" t="n">
        <x:v>12</x:v>
      </x:c>
      <x:c r="H437" s="82" t="n">
        <x:v>160.70001</x:v>
      </x:c>
      <x:c r="I437" s="82" t="n">
        <x:v>52.210723</x:v>
      </x:c>
      <x:c r="J437" s="82" t="n">
        <x:v>61.482357</x:v>
      </x:c>
      <x:c r="K437" s="68" t="n">
        <x:f>E437-D437</x:f>
        <x:v>-2</x:v>
      </x:c>
      <x:c r="L437" s="68" t="n">
        <x:f>ABS(K437)</x:f>
        <x:v>2</x:v>
      </x:c>
    </x:row>
    <x:row r="438" ht="22" customHeight="1">
      <x:c r="A438" s="68" t="str">
        <x:v>UP</x:v>
      </x:c>
      <x:c r="B438" s="68" t="str">
        <x:v>2026-02-21</x:v>
      </x:c>
      <x:c r="C438" s="68" t="n">
        <x:v>4</x:v>
      </x:c>
      <x:c r="D438" s="68" t="n">
        <x:v>4</x:v>
      </x:c>
      <x:c r="E438" s="68" t="n">
        <x:v>5</x:v>
      </x:c>
      <x:c r="F438" s="68" t="n">
        <x:v>9</x:v>
      </x:c>
      <x:c r="G438" s="68" t="n">
        <x:v>14</x:v>
      </x:c>
      <x:c r="H438" s="82" t="n">
        <x:v>99</x:v>
      </x:c>
      <x:c r="I438" s="82" t="n">
        <x:v>141.800048</x:v>
      </x:c>
      <x:c r="J438" s="82" t="n">
        <x:v>48.105734</x:v>
      </x:c>
      <x:c r="K438" s="68" t="n">
        <x:f>E438-D438</x:f>
        <x:v>1</x:v>
      </x:c>
      <x:c r="L438" s="68" t="n">
        <x:f>ABS(K438)</x:f>
        <x:v>1</x:v>
      </x:c>
    </x:row>
    <x:row r="439" ht="22" customHeight="1">
      <x:c r="A439" s="68" t="str">
        <x:v>UP</x:v>
      </x:c>
      <x:c r="B439" s="68" t="str">
        <x:v>2026-02-21</x:v>
      </x:c>
      <x:c r="C439" s="68" t="n">
        <x:v>5</x:v>
      </x:c>
      <x:c r="D439" s="68" t="n">
        <x:v>13</x:v>
      </x:c>
      <x:c r="E439" s="68" t="n">
        <x:v>3</x:v>
      </x:c>
      <x:c r="F439" s="68" t="n">
        <x:v>9</x:v>
      </x:c>
      <x:c r="G439" s="68" t="n">
        <x:v>12</x:v>
      </x:c>
      <x:c r="H439" s="82" t="n">
        <x:v>293.38333</x:v>
      </x:c>
      <x:c r="I439" s="82" t="n">
        <x:v>64.081473</x:v>
      </x:c>
      <x:c r="J439" s="82" t="n">
        <x:v>93.763162</x:v>
      </x:c>
      <x:c r="K439" s="68" t="n">
        <x:f>E439-D439</x:f>
        <x:v>-10</x:v>
      </x:c>
      <x:c r="L439" s="68" t="n">
        <x:f>ABS(K439)</x:f>
        <x:v>10</x:v>
      </x:c>
    </x:row>
    <x:row r="440" ht="22" customHeight="1">
      <x:c r="A440" s="68" t="str">
        <x:v>UP</x:v>
      </x:c>
      <x:c r="B440" s="68" t="str">
        <x:v>2026-02-21</x:v>
      </x:c>
      <x:c r="C440" s="68" t="n">
        <x:v>6</x:v>
      </x:c>
      <x:c r="D440" s="68" t="n">
        <x:v>14</x:v>
      </x:c>
      <x:c r="E440" s="68" t="n">
        <x:v>17</x:v>
      </x:c>
      <x:c r="F440" s="68" t="n">
        <x:v>13</x:v>
      </x:c>
      <x:c r="G440" s="68" t="n">
        <x:v>30</x:v>
      </x:c>
      <x:c r="H440" s="82" t="n">
        <x:v>475.56666</x:v>
      </x:c>
      <x:c r="I440" s="82" t="n">
        <x:v>228.677646</x:v>
      </x:c>
      <x:c r="J440" s="82" t="n">
        <x:v>72.314091</x:v>
      </x:c>
      <x:c r="K440" s="68" t="n">
        <x:f>E440-D440</x:f>
        <x:v>3</x:v>
      </x:c>
      <x:c r="L440" s="68" t="n">
        <x:f>ABS(K440)</x:f>
        <x:v>3</x:v>
      </x:c>
    </x:row>
    <x:row r="441" ht="22" customHeight="1">
      <x:c r="A441" s="68" t="str">
        <x:v>UP</x:v>
      </x:c>
      <x:c r="B441" s="68" t="str">
        <x:v>2026-02-21</x:v>
      </x:c>
      <x:c r="C441" s="68" t="n">
        <x:v>7</x:v>
      </x:c>
      <x:c r="D441" s="68" t="n">
        <x:v>11</x:v>
      </x:c>
      <x:c r="E441" s="68" t="n">
        <x:v>9</x:v>
      </x:c>
      <x:c r="F441" s="68" t="n">
        <x:v>22</x:v>
      </x:c>
      <x:c r="G441" s="68" t="n">
        <x:v>31</x:v>
      </x:c>
      <x:c r="H441" s="82" t="n">
        <x:v>324.03334</x:v>
      </x:c>
      <x:c r="I441" s="82" t="n">
        <x:v>129.983756</x:v>
      </x:c>
      <x:c r="J441" s="82" t="n">
        <x:v>107.232733</x:v>
      </x:c>
      <x:c r="K441" s="68" t="n">
        <x:f>E441-D441</x:f>
        <x:v>-2</x:v>
      </x:c>
      <x:c r="L441" s="68" t="n">
        <x:f>ABS(K441)</x:f>
        <x:v>2</x:v>
      </x:c>
    </x:row>
    <x:row r="442" ht="22" customHeight="1">
      <x:c r="A442" s="68" t="str">
        <x:v>UP</x:v>
      </x:c>
      <x:c r="B442" s="68" t="str">
        <x:v>2026-02-21</x:v>
      </x:c>
      <x:c r="C442" s="68" t="n">
        <x:v>8</x:v>
      </x:c>
      <x:c r="D442" s="68" t="n">
        <x:v>24</x:v>
      </x:c>
      <x:c r="E442" s="68" t="n">
        <x:v>16</x:v>
      </x:c>
      <x:c r="F442" s="68" t="n">
        <x:v>26</x:v>
      </x:c>
      <x:c r="G442" s="68" t="n">
        <x:v>42</x:v>
      </x:c>
      <x:c r="H442" s="82" t="n">
        <x:v>510.53333</x:v>
      </x:c>
      <x:c r="I442" s="82" t="n">
        <x:v>144.019733</x:v>
      </x:c>
      <x:c r="J442" s="82" t="n">
        <x:v>132.36283</x:v>
      </x:c>
      <x:c r="K442" s="68" t="n">
        <x:f>E442-D442</x:f>
        <x:v>-8</x:v>
      </x:c>
      <x:c r="L442" s="68" t="n">
        <x:f>ABS(K442)</x:f>
        <x:v>8</x:v>
      </x:c>
    </x:row>
    <x:row r="443" ht="22" customHeight="1">
      <x:c r="A443" s="68" t="str">
        <x:v>UP</x:v>
      </x:c>
      <x:c r="B443" s="68" t="str">
        <x:v>2026-02-21</x:v>
      </x:c>
      <x:c r="C443" s="68" t="n">
        <x:v>9</x:v>
      </x:c>
      <x:c r="D443" s="68" t="n">
        <x:v>25</x:v>
      </x:c>
      <x:c r="E443" s="68" t="n">
        <x:v>17</x:v>
      </x:c>
      <x:c r="F443" s="68" t="n">
        <x:v>34</x:v>
      </x:c>
      <x:c r="G443" s="68" t="n">
        <x:v>51</x:v>
      </x:c>
      <x:c r="H443" s="82" t="n">
        <x:v>655.83332</x:v>
      </x:c>
      <x:c r="I443" s="82" t="n">
        <x:v>138.185699</x:v>
      </x:c>
      <x:c r="J443" s="82" t="n">
        <x:v>221.983304</x:v>
      </x:c>
      <x:c r="K443" s="68" t="n">
        <x:f>E443-D443</x:f>
        <x:v>-8</x:v>
      </x:c>
      <x:c r="L443" s="68" t="n">
        <x:f>ABS(K443)</x:f>
        <x:v>8</x:v>
      </x:c>
    </x:row>
    <x:row r="444" ht="22" customHeight="1">
      <x:c r="A444" s="68" t="str">
        <x:v>UP</x:v>
      </x:c>
      <x:c r="B444" s="68" t="str">
        <x:v>2026-02-21</x:v>
      </x:c>
      <x:c r="C444" s="68" t="n">
        <x:v>10</x:v>
      </x:c>
      <x:c r="D444" s="68" t="n">
        <x:v>31</x:v>
      </x:c>
      <x:c r="E444" s="68" t="n">
        <x:v>24</x:v>
      </x:c>
      <x:c r="F444" s="68" t="n">
        <x:v>50</x:v>
      </x:c>
      <x:c r="G444" s="68" t="n">
        <x:v>74</x:v>
      </x:c>
      <x:c r="H444" s="82" t="n">
        <x:v>705.58334</x:v>
      </x:c>
      <x:c r="I444" s="82" t="n">
        <x:v>247.214629</x:v>
      </x:c>
      <x:c r="J444" s="82" t="n">
        <x:v>346.463693</x:v>
      </x:c>
      <x:c r="K444" s="68" t="n">
        <x:f>E444-D444</x:f>
        <x:v>-7</x:v>
      </x:c>
      <x:c r="L444" s="68" t="n">
        <x:f>ABS(K444)</x:f>
        <x:v>7</x:v>
      </x:c>
    </x:row>
    <x:row r="445" ht="22" customHeight="1">
      <x:c r="A445" s="68" t="str">
        <x:v>UP</x:v>
      </x:c>
      <x:c r="B445" s="68" t="str">
        <x:v>2026-02-21</x:v>
      </x:c>
      <x:c r="C445" s="68" t="n">
        <x:v>11</x:v>
      </x:c>
      <x:c r="D445" s="68" t="n">
        <x:v>40</x:v>
      </x:c>
      <x:c r="E445" s="68" t="n">
        <x:v>28</x:v>
      </x:c>
      <x:c r="F445" s="68" t="n">
        <x:v>27</x:v>
      </x:c>
      <x:c r="G445" s="68" t="n">
        <x:v>55</x:v>
      </x:c>
      <x:c r="H445" s="82" t="n">
        <x:v>970.49999</x:v>
      </x:c>
      <x:c r="I445" s="82" t="n">
        <x:v>313.000595</x:v>
      </x:c>
      <x:c r="J445" s="82" t="n">
        <x:v>174.503947</x:v>
      </x:c>
      <x:c r="K445" s="68" t="n">
        <x:f>E445-D445</x:f>
        <x:v>-12</x:v>
      </x:c>
      <x:c r="L445" s="68" t="n">
        <x:f>ABS(K445)</x:f>
        <x:v>12</x:v>
      </x:c>
    </x:row>
    <x:row r="446" ht="22" customHeight="1">
      <x:c r="A446" s="68" t="str">
        <x:v>UP</x:v>
      </x:c>
      <x:c r="B446" s="68" t="str">
        <x:v>2026-02-21</x:v>
      </x:c>
      <x:c r="C446" s="68" t="n">
        <x:v>12</x:v>
      </x:c>
      <x:c r="D446" s="68" t="n">
        <x:v>42</x:v>
      </x:c>
      <x:c r="E446" s="68" t="n">
        <x:v>19</x:v>
      </x:c>
      <x:c r="F446" s="68" t="n">
        <x:v>51</x:v>
      </x:c>
      <x:c r="G446" s="68" t="n">
        <x:v>70</x:v>
      </x:c>
      <x:c r="H446" s="82" t="n">
        <x:v>1159.46667</x:v>
      </x:c>
      <x:c r="I446" s="82" t="n">
        <x:v>176.698832</x:v>
      </x:c>
      <x:c r="J446" s="82" t="n">
        <x:v>285.210973</x:v>
      </x:c>
      <x:c r="K446" s="68" t="n">
        <x:f>E446-D446</x:f>
        <x:v>-23</x:v>
      </x:c>
      <x:c r="L446" s="68" t="n">
        <x:f>ABS(K446)</x:f>
        <x:v>23</x:v>
      </x:c>
    </x:row>
    <x:row r="447" ht="22" customHeight="1">
      <x:c r="A447" s="68" t="str">
        <x:v>UP</x:v>
      </x:c>
      <x:c r="B447" s="68" t="str">
        <x:v>2026-02-21</x:v>
      </x:c>
      <x:c r="C447" s="68" t="n">
        <x:v>13</x:v>
      </x:c>
      <x:c r="D447" s="68" t="n">
        <x:v>34</x:v>
      </x:c>
      <x:c r="E447" s="68" t="n">
        <x:v>15</x:v>
      </x:c>
      <x:c r="F447" s="68" t="n">
        <x:v>44</x:v>
      </x:c>
      <x:c r="G447" s="68" t="n">
        <x:v>59</x:v>
      </x:c>
      <x:c r="H447" s="82" t="n">
        <x:v>956.20001</x:v>
      </x:c>
      <x:c r="I447" s="82" t="n">
        <x:v>307.316963</x:v>
      </x:c>
      <x:c r="J447" s="82" t="n">
        <x:v>241.695781</x:v>
      </x:c>
      <x:c r="K447" s="68" t="n">
        <x:f>E447-D447</x:f>
        <x:v>-19</x:v>
      </x:c>
      <x:c r="L447" s="68" t="n">
        <x:f>ABS(K447)</x:f>
        <x:v>19</x:v>
      </x:c>
    </x:row>
    <x:row r="448" ht="22" customHeight="1">
      <x:c r="A448" s="68" t="str">
        <x:v>UP</x:v>
      </x:c>
      <x:c r="B448" s="68" t="str">
        <x:v>2026-02-21</x:v>
      </x:c>
      <x:c r="C448" s="68" t="n">
        <x:v>14</x:v>
      </x:c>
      <x:c r="D448" s="68" t="n">
        <x:v>36</x:v>
      </x:c>
      <x:c r="E448" s="68" t="n">
        <x:v>18</x:v>
      </x:c>
      <x:c r="F448" s="68" t="n">
        <x:v>43</x:v>
      </x:c>
      <x:c r="G448" s="68" t="n">
        <x:v>61</x:v>
      </x:c>
      <x:c r="H448" s="82" t="n">
        <x:v>795.06665</x:v>
      </x:c>
      <x:c r="I448" s="82" t="n">
        <x:v>221.025302</x:v>
      </x:c>
      <x:c r="J448" s="82" t="n">
        <x:v>255.984738</x:v>
      </x:c>
      <x:c r="K448" s="68" t="n">
        <x:f>E448-D448</x:f>
        <x:v>-18</x:v>
      </x:c>
      <x:c r="L448" s="68" t="n">
        <x:f>ABS(K448)</x:f>
        <x:v>18</x:v>
      </x:c>
    </x:row>
    <x:row r="449" ht="22" customHeight="1">
      <x:c r="A449" s="68" t="str">
        <x:v>UP</x:v>
      </x:c>
      <x:c r="B449" s="68" t="str">
        <x:v>2026-02-21</x:v>
      </x:c>
      <x:c r="C449" s="68" t="n">
        <x:v>15</x:v>
      </x:c>
      <x:c r="D449" s="68" t="n">
        <x:v>42</x:v>
      </x:c>
      <x:c r="E449" s="68" t="n">
        <x:v>19</x:v>
      </x:c>
      <x:c r="F449" s="68" t="n">
        <x:v>54</x:v>
      </x:c>
      <x:c r="G449" s="68" t="n">
        <x:v>73</x:v>
      </x:c>
      <x:c r="H449" s="82" t="n">
        <x:v>1196.91666</x:v>
      </x:c>
      <x:c r="I449" s="82" t="n">
        <x:v>156.270323</x:v>
      </x:c>
      <x:c r="J449" s="82" t="n">
        <x:v>352.655823</x:v>
      </x:c>
      <x:c r="K449" s="68" t="n">
        <x:f>E449-D449</x:f>
        <x:v>-23</x:v>
      </x:c>
      <x:c r="L449" s="68" t="n">
        <x:f>ABS(K449)</x:f>
        <x:v>23</x:v>
      </x:c>
    </x:row>
    <x:row r="450" ht="22" customHeight="1">
      <x:c r="A450" s="68" t="str">
        <x:v>UP</x:v>
      </x:c>
      <x:c r="B450" s="68" t="str">
        <x:v>2026-02-21</x:v>
      </x:c>
      <x:c r="C450" s="68" t="n">
        <x:v>16</x:v>
      </x:c>
      <x:c r="D450" s="68" t="n">
        <x:v>38</x:v>
      </x:c>
      <x:c r="E450" s="68" t="n">
        <x:v>24</x:v>
      </x:c>
      <x:c r="F450" s="68" t="n">
        <x:v>46</x:v>
      </x:c>
      <x:c r="G450" s="68" t="n">
        <x:v>70</x:v>
      </x:c>
      <x:c r="H450" s="82" t="n">
        <x:v>934.71667</x:v>
      </x:c>
      <x:c r="I450" s="82" t="n">
        <x:v>274.411415</x:v>
      </x:c>
      <x:c r="J450" s="82" t="n">
        <x:v>317.460394</x:v>
      </x:c>
      <x:c r="K450" s="68" t="n">
        <x:f>E450-D450</x:f>
        <x:v>-14</x:v>
      </x:c>
      <x:c r="L450" s="68" t="n">
        <x:f>ABS(K450)</x:f>
        <x:v>14</x:v>
      </x:c>
    </x:row>
    <x:row r="451" ht="22" customHeight="1">
      <x:c r="A451" s="68" t="str">
        <x:v>UP</x:v>
      </x:c>
      <x:c r="B451" s="68" t="str">
        <x:v>2026-02-21</x:v>
      </x:c>
      <x:c r="C451" s="68" t="n">
        <x:v>17</x:v>
      </x:c>
      <x:c r="D451" s="68" t="n">
        <x:v>41</x:v>
      </x:c>
      <x:c r="E451" s="68" t="n">
        <x:v>28</x:v>
      </x:c>
      <x:c r="F451" s="68" t="n">
        <x:v>45</x:v>
      </x:c>
      <x:c r="G451" s="68" t="n">
        <x:v>73</x:v>
      </x:c>
      <x:c r="H451" s="82" t="n">
        <x:v>904.41666</x:v>
      </x:c>
      <x:c r="I451" s="82" t="n">
        <x:v>406.958127</x:v>
      </x:c>
      <x:c r="J451" s="82" t="n">
        <x:v>283.259342</x:v>
      </x:c>
      <x:c r="K451" s="68" t="n">
        <x:f>E451-D451</x:f>
        <x:v>-13</x:v>
      </x:c>
      <x:c r="L451" s="68" t="n">
        <x:f>ABS(K451)</x:f>
        <x:v>13</x:v>
      </x:c>
    </x:row>
    <x:row r="452" ht="22" customHeight="1">
      <x:c r="A452" s="68" t="str">
        <x:v>UP</x:v>
      </x:c>
      <x:c r="B452" s="68" t="str">
        <x:v>2026-02-21</x:v>
      </x:c>
      <x:c r="C452" s="68" t="n">
        <x:v>18</x:v>
      </x:c>
      <x:c r="D452" s="68" t="n">
        <x:v>42</x:v>
      </x:c>
      <x:c r="E452" s="68" t="n">
        <x:v>31</x:v>
      </x:c>
      <x:c r="F452" s="68" t="n">
        <x:v>35</x:v>
      </x:c>
      <x:c r="G452" s="68" t="n">
        <x:v>66</x:v>
      </x:c>
      <x:c r="H452" s="82" t="n">
        <x:v>1030.86667</x:v>
      </x:c>
      <x:c r="I452" s="82" t="n">
        <x:v>408.726179</x:v>
      </x:c>
      <x:c r="J452" s="82" t="n">
        <x:v>305.693108</x:v>
      </x:c>
      <x:c r="K452" s="68" t="n">
        <x:f>E452-D452</x:f>
        <x:v>-11</x:v>
      </x:c>
      <x:c r="L452" s="68" t="n">
        <x:f>ABS(K452)</x:f>
        <x:v>11</x:v>
      </x:c>
    </x:row>
    <x:row r="453" ht="22" customHeight="1">
      <x:c r="A453" s="68" t="str">
        <x:v>UP</x:v>
      </x:c>
      <x:c r="B453" s="68" t="str">
        <x:v>2026-02-21</x:v>
      </x:c>
      <x:c r="C453" s="68" t="n">
        <x:v>19</x:v>
      </x:c>
      <x:c r="D453" s="68" t="n">
        <x:v>26</x:v>
      </x:c>
      <x:c r="E453" s="68" t="n">
        <x:v>25</x:v>
      </x:c>
      <x:c r="F453" s="68" t="n">
        <x:v>33</x:v>
      </x:c>
      <x:c r="G453" s="68" t="n">
        <x:v>58</x:v>
      </x:c>
      <x:c r="H453" s="82" t="n">
        <x:v>759.36667</x:v>
      </x:c>
      <x:c r="I453" s="82" t="n">
        <x:v>473.31882</x:v>
      </x:c>
      <x:c r="J453" s="82" t="n">
        <x:v>324.610391</x:v>
      </x:c>
      <x:c r="K453" s="68" t="n">
        <x:f>E453-D453</x:f>
        <x:v>-1</x:v>
      </x:c>
      <x:c r="L453" s="68" t="n">
        <x:f>ABS(K453)</x:f>
        <x:v>1</x:v>
      </x:c>
    </x:row>
    <x:row r="454" ht="22" customHeight="1">
      <x:c r="A454" s="68" t="str">
        <x:v>UP</x:v>
      </x:c>
      <x:c r="B454" s="68" t="str">
        <x:v>2026-02-21</x:v>
      </x:c>
      <x:c r="C454" s="68" t="n">
        <x:v>20</x:v>
      </x:c>
      <x:c r="D454" s="68" t="n">
        <x:v>25</x:v>
      </x:c>
      <x:c r="E454" s="68" t="n">
        <x:v>25</x:v>
      </x:c>
      <x:c r="F454" s="68" t="n">
        <x:v>32</x:v>
      </x:c>
      <x:c r="G454" s="68" t="n">
        <x:v>57</x:v>
      </x:c>
      <x:c r="H454" s="82" t="n">
        <x:v>560.48333</x:v>
      </x:c>
      <x:c r="I454" s="82" t="n">
        <x:v>206.588732</x:v>
      </x:c>
      <x:c r="J454" s="82" t="n">
        <x:v>162.704745</x:v>
      </x:c>
      <x:c r="K454" s="68" t="n">
        <x:f>E454-D454</x:f>
        <x:v>0</x:v>
      </x:c>
      <x:c r="L454" s="68" t="n">
        <x:f>ABS(K454)</x:f>
        <x:v>0</x:v>
      </x:c>
    </x:row>
    <x:row r="455" ht="22" customHeight="1">
      <x:c r="A455" s="68" t="str">
        <x:v>UP</x:v>
      </x:c>
      <x:c r="B455" s="68" t="str">
        <x:v>2026-02-21</x:v>
      </x:c>
      <x:c r="C455" s="68" t="n">
        <x:v>21</x:v>
      </x:c>
      <x:c r="D455" s="68" t="n">
        <x:v>24</x:v>
      </x:c>
      <x:c r="E455" s="68" t="n">
        <x:v>23</x:v>
      </x:c>
      <x:c r="F455" s="68" t="n">
        <x:v>25</x:v>
      </x:c>
      <x:c r="G455" s="68" t="n">
        <x:v>48</x:v>
      </x:c>
      <x:c r="H455" s="82" t="n">
        <x:v>683.36668</x:v>
      </x:c>
      <x:c r="I455" s="82" t="n">
        <x:v>291.235264</x:v>
      </x:c>
      <x:c r="J455" s="82" t="n">
        <x:v>182.029778</x:v>
      </x:c>
      <x:c r="K455" s="68" t="n">
        <x:f>E455-D455</x:f>
        <x:v>-1</x:v>
      </x:c>
      <x:c r="L455" s="68" t="n">
        <x:f>ABS(K455)</x:f>
        <x:v>1</x:v>
      </x:c>
    </x:row>
    <x:row r="456" ht="22" customHeight="1">
      <x:c r="A456" s="68" t="str">
        <x:v>UP</x:v>
      </x:c>
      <x:c r="B456" s="68" t="str">
        <x:v>2026-02-21</x:v>
      </x:c>
      <x:c r="C456" s="68" t="n">
        <x:v>22</x:v>
      </x:c>
      <x:c r="D456" s="68" t="n">
        <x:v>12</x:v>
      </x:c>
      <x:c r="E456" s="68" t="n">
        <x:v>17</x:v>
      </x:c>
      <x:c r="F456" s="68" t="n">
        <x:v>23</x:v>
      </x:c>
      <x:c r="G456" s="68" t="n">
        <x:v>40</x:v>
      </x:c>
      <x:c r="H456" s="82" t="n">
        <x:v>299.13334</x:v>
      </x:c>
      <x:c r="I456" s="82" t="n">
        <x:v>218.504267</x:v>
      </x:c>
      <x:c r="J456" s="82" t="n">
        <x:v>185.161891</x:v>
      </x:c>
      <x:c r="K456" s="68" t="n">
        <x:f>E456-D456</x:f>
        <x:v>5</x:v>
      </x:c>
      <x:c r="L456" s="68" t="n">
        <x:f>ABS(K456)</x:f>
        <x:v>5</x:v>
      </x:c>
    </x:row>
    <x:row r="457" ht="22" customHeight="1">
      <x:c r="A457" s="68" t="str">
        <x:v>UP</x:v>
      </x:c>
      <x:c r="B457" s="68" t="str">
        <x:v>2026-02-21</x:v>
      </x:c>
      <x:c r="C457" s="68" t="n">
        <x:v>23</x:v>
      </x:c>
      <x:c r="D457" s="68" t="n">
        <x:v>15</x:v>
      </x:c>
      <x:c r="E457" s="68" t="n">
        <x:v>7</x:v>
      </x:c>
      <x:c r="F457" s="68" t="n">
        <x:v>14</x:v>
      </x:c>
      <x:c r="G457" s="68" t="n">
        <x:v>21</x:v>
      </x:c>
      <x:c r="H457" s="82" t="n">
        <x:v>427.68333</x:v>
      </x:c>
      <x:c r="I457" s="82" t="n">
        <x:v>111.29343</x:v>
      </x:c>
      <x:c r="J457" s="82" t="n">
        <x:v>87.654581</x:v>
      </x:c>
      <x:c r="K457" s="68" t="n">
        <x:f>E457-D457</x:f>
        <x:v>-8</x:v>
      </x:c>
      <x:c r="L457" s="68" t="n">
        <x:f>ABS(K457)</x:f>
        <x:v>8</x:v>
      </x:c>
    </x:row>
    <x:row r="458" ht="22" customHeight="1">
      <x:c r="A458" s="68" t="str">
        <x:v>UP</x:v>
      </x:c>
      <x:c r="B458" s="68" t="str">
        <x:v>2026-02-22</x:v>
      </x:c>
      <x:c r="C458" s="68" t="n">
        <x:v>0</x:v>
      </x:c>
      <x:c r="D458" s="68" t="n">
        <x:v>15</x:v>
      </x:c>
      <x:c r="E458" s="68" t="n">
        <x:v>1</x:v>
      </x:c>
      <x:c r="F458" s="68" t="n">
        <x:v>6</x:v>
      </x:c>
      <x:c r="G458" s="68" t="n">
        <x:v>7</x:v>
      </x:c>
      <x:c r="H458" s="82" t="n">
        <x:v>351.23333</x:v>
      </x:c>
      <x:c r="I458" s="82" t="n">
        <x:v>1.604703</x:v>
      </x:c>
      <x:c r="J458" s="82" t="n">
        <x:v>34.763823</x:v>
      </x:c>
      <x:c r="K458" s="68" t="n">
        <x:f>E458-D458</x:f>
        <x:v>-14</x:v>
      </x:c>
      <x:c r="L458" s="68" t="n">
        <x:f>ABS(K458)</x:f>
        <x:v>14</x:v>
      </x:c>
    </x:row>
    <x:row r="459" ht="22" customHeight="1">
      <x:c r="A459" s="68" t="str">
        <x:v>UP</x:v>
      </x:c>
      <x:c r="B459" s="68" t="str">
        <x:v>2026-02-22</x:v>
      </x:c>
      <x:c r="C459" s="68" t="n">
        <x:v>1</x:v>
      </x:c>
      <x:c r="D459" s="68" t="n">
        <x:v>8</x:v>
      </x:c>
      <x:c r="E459" s="68" t="n">
        <x:v>1</x:v>
      </x:c>
      <x:c r="F459" s="68" t="n">
        <x:v>7</x:v>
      </x:c>
      <x:c r="G459" s="68" t="n">
        <x:v>8</x:v>
      </x:c>
      <x:c r="H459" s="82" t="n">
        <x:v>241.91667</x:v>
      </x:c>
      <x:c r="I459" s="82" t="n">
        <x:v>5.087485</x:v>
      </x:c>
      <x:c r="J459" s="82" t="n">
        <x:v>21.497415</x:v>
      </x:c>
      <x:c r="K459" s="68" t="n">
        <x:f>E459-D459</x:f>
        <x:v>-7</x:v>
      </x:c>
      <x:c r="L459" s="68" t="n">
        <x:f>ABS(K459)</x:f>
        <x:v>7</x:v>
      </x:c>
    </x:row>
    <x:row r="460" ht="22" customHeight="1">
      <x:c r="A460" s="68" t="str">
        <x:v>UP</x:v>
      </x:c>
      <x:c r="B460" s="68" t="str">
        <x:v>2026-02-22</x:v>
      </x:c>
      <x:c r="C460" s="68" t="n">
        <x:v>2</x:v>
      </x:c>
      <x:c r="D460" s="68" t="n">
        <x:v>7</x:v>
      </x:c>
      <x:c r="E460" s="68" t="n">
        <x:v>5</x:v>
      </x:c>
      <x:c r="F460" s="68" t="n">
        <x:v>6</x:v>
      </x:c>
      <x:c r="G460" s="68" t="n">
        <x:v>11</x:v>
      </x:c>
      <x:c r="H460" s="82" t="n">
        <x:v>125.56665</x:v>
      </x:c>
      <x:c r="I460" s="82" t="n">
        <x:v>34.984205</x:v>
      </x:c>
      <x:c r="J460" s="82" t="n">
        <x:v>33.865304</x:v>
      </x:c>
      <x:c r="K460" s="68" t="n">
        <x:f>E460-D460</x:f>
        <x:v>-2</x:v>
      </x:c>
      <x:c r="L460" s="68" t="n">
        <x:f>ABS(K460)</x:f>
        <x:v>2</x:v>
      </x:c>
    </x:row>
    <x:row r="461" ht="22" customHeight="1">
      <x:c r="A461" s="68" t="str">
        <x:v>UP</x:v>
      </x:c>
      <x:c r="B461" s="68" t="str">
        <x:v>2026-02-22</x:v>
      </x:c>
      <x:c r="C461" s="68" t="n">
        <x:v>3</x:v>
      </x:c>
      <x:c r="D461" s="68" t="n">
        <x:v>3</x:v>
      </x:c>
      <x:c r="E461" s="68" t="n">
        <x:v>3</x:v>
      </x:c>
      <x:c r="F461" s="68" t="n">
        <x:v>1</x:v>
      </x:c>
      <x:c r="G461" s="68" t="n">
        <x:v>4</x:v>
      </x:c>
      <x:c r="H461" s="82" t="n">
        <x:v>114.41667</x:v>
      </x:c>
      <x:c r="I461" s="82" t="n">
        <x:v>33.896718</x:v>
      </x:c>
      <x:c r="J461" s="82" t="n">
        <x:v>5.422549</x:v>
      </x:c>
      <x:c r="K461" s="68" t="n">
        <x:f>E461-D461</x:f>
        <x:v>0</x:v>
      </x:c>
      <x:c r="L461" s="68" t="n">
        <x:f>ABS(K461)</x:f>
        <x:v>0</x:v>
      </x:c>
    </x:row>
    <x:row r="462" ht="22" customHeight="1">
      <x:c r="A462" s="68" t="str">
        <x:v>UP</x:v>
      </x:c>
      <x:c r="B462" s="68" t="str">
        <x:v>2026-02-22</x:v>
      </x:c>
      <x:c r="C462" s="68" t="n">
        <x:v>4</x:v>
      </x:c>
      <x:c r="D462" s="68" t="n">
        <x:v>2</x:v>
      </x:c>
      <x:c r="E462" s="68" t="n">
        <x:v>2</x:v>
      </x:c>
      <x:c r="F462" s="68" t="n">
        <x:v>6</x:v>
      </x:c>
      <x:c r="G462" s="68" t="n">
        <x:v>8</x:v>
      </x:c>
      <x:c r="H462" s="82" t="n">
        <x:v>74.11666</x:v>
      </x:c>
      <x:c r="I462" s="82" t="n">
        <x:v>15.283675</x:v>
      </x:c>
      <x:c r="J462" s="82" t="n">
        <x:v>44.874602</x:v>
      </x:c>
      <x:c r="K462" s="68" t="n">
        <x:f>E462-D462</x:f>
        <x:v>0</x:v>
      </x:c>
      <x:c r="L462" s="68" t="n">
        <x:f>ABS(K462)</x:f>
        <x:v>0</x:v>
      </x:c>
    </x:row>
    <x:row r="463" ht="22" customHeight="1">
      <x:c r="A463" s="68" t="str">
        <x:v>UP</x:v>
      </x:c>
      <x:c r="B463" s="68" t="str">
        <x:v>2026-02-22</x:v>
      </x:c>
      <x:c r="C463" s="68" t="n">
        <x:v>5</x:v>
      </x:c>
      <x:c r="D463" s="68" t="n">
        <x:v>3</x:v>
      </x:c>
      <x:c r="E463" s="68" t="n">
        <x:v>2</x:v>
      </x:c>
      <x:c r="F463" s="68" t="n">
        <x:v>4</x:v>
      </x:c>
      <x:c r="G463" s="68" t="n">
        <x:v>6</x:v>
      </x:c>
      <x:c r="H463" s="82" t="n">
        <x:v>46.26667</x:v>
      </x:c>
      <x:c r="I463" s="82" t="n">
        <x:v>14.193132</x:v>
      </x:c>
      <x:c r="J463" s="82" t="n">
        <x:v>31.557139</x:v>
      </x:c>
      <x:c r="K463" s="68" t="n">
        <x:f>E463-D463</x:f>
        <x:v>-1</x:v>
      </x:c>
      <x:c r="L463" s="68" t="n">
        <x:f>ABS(K463)</x:f>
        <x:v>1</x:v>
      </x:c>
    </x:row>
    <x:row r="464" ht="22" customHeight="1">
      <x:c r="A464" s="68" t="str">
        <x:v>UP</x:v>
      </x:c>
      <x:c r="B464" s="68" t="str">
        <x:v>2026-02-22</x:v>
      </x:c>
      <x:c r="C464" s="68" t="n">
        <x:v>6</x:v>
      </x:c>
      <x:c r="D464" s="68" t="n">
        <x:v>3</x:v>
      </x:c>
      <x:c r="E464" s="68" t="n">
        <x:v>5</x:v>
      </x:c>
      <x:c r="F464" s="68" t="n">
        <x:v>12</x:v>
      </x:c>
      <x:c r="G464" s="68" t="n">
        <x:v>17</x:v>
      </x:c>
      <x:c r="H464" s="82" t="n">
        <x:v>44.85</x:v>
      </x:c>
      <x:c r="I464" s="82" t="n">
        <x:v>28.585152</x:v>
      </x:c>
      <x:c r="J464" s="82" t="n">
        <x:v>41.713073</x:v>
      </x:c>
      <x:c r="K464" s="68" t="n">
        <x:f>E464-D464</x:f>
        <x:v>2</x:v>
      </x:c>
      <x:c r="L464" s="68" t="n">
        <x:f>ABS(K464)</x:f>
        <x:v>2</x:v>
      </x:c>
    </x:row>
    <x:row r="465" ht="22" customHeight="1">
      <x:c r="A465" s="68" t="str">
        <x:v>UP</x:v>
      </x:c>
      <x:c r="B465" s="68" t="str">
        <x:v>2026-02-22</x:v>
      </x:c>
      <x:c r="C465" s="68" t="n">
        <x:v>7</x:v>
      </x:c>
      <x:c r="D465" s="68" t="n">
        <x:v>17</x:v>
      </x:c>
      <x:c r="E465" s="68" t="n">
        <x:v>6</x:v>
      </x:c>
      <x:c r="F465" s="68" t="n">
        <x:v>13</x:v>
      </x:c>
      <x:c r="G465" s="68" t="n">
        <x:v>19</x:v>
      </x:c>
      <x:c r="H465" s="82" t="n">
        <x:v>407.03333</x:v>
      </x:c>
      <x:c r="I465" s="82" t="n">
        <x:v>64.546056</x:v>
      </x:c>
      <x:c r="J465" s="82" t="n">
        <x:v>44.240514</x:v>
      </x:c>
      <x:c r="K465" s="68" t="n">
        <x:f>E465-D465</x:f>
        <x:v>-11</x:v>
      </x:c>
      <x:c r="L465" s="68" t="n">
        <x:f>ABS(K465)</x:f>
        <x:v>11</x:v>
      </x:c>
    </x:row>
    <x:row r="466" ht="22" customHeight="1">
      <x:c r="A466" s="68" t="str">
        <x:v>UP</x:v>
      </x:c>
      <x:c r="B466" s="68" t="str">
        <x:v>2026-02-22</x:v>
      </x:c>
      <x:c r="C466" s="68" t="n">
        <x:v>8</x:v>
      </x:c>
      <x:c r="D466" s="68" t="n">
        <x:v>20</x:v>
      </x:c>
      <x:c r="E466" s="68" t="n">
        <x:v>5</x:v>
      </x:c>
      <x:c r="F466" s="68" t="n">
        <x:v>15</x:v>
      </x:c>
      <x:c r="G466" s="68" t="n">
        <x:v>20</x:v>
      </x:c>
      <x:c r="H466" s="82" t="n">
        <x:v>464.28333</x:v>
      </x:c>
      <x:c r="I466" s="82" t="n">
        <x:v>34.39915</x:v>
      </x:c>
      <x:c r="J466" s="82" t="n">
        <x:v>54.243219</x:v>
      </x:c>
      <x:c r="K466" s="68" t="n">
        <x:f>E466-D466</x:f>
        <x:v>-15</x:v>
      </x:c>
      <x:c r="L466" s="68" t="n">
        <x:f>ABS(K466)</x:f>
        <x:v>15</x:v>
      </x:c>
    </x:row>
    <x:row r="467" ht="22" customHeight="1">
      <x:c r="A467" s="68" t="str">
        <x:v>UP</x:v>
      </x:c>
      <x:c r="B467" s="68" t="str">
        <x:v>2026-02-22</x:v>
      </x:c>
      <x:c r="C467" s="68" t="n">
        <x:v>9</x:v>
      </x:c>
      <x:c r="D467" s="68" t="n">
        <x:v>31</x:v>
      </x:c>
      <x:c r="E467" s="68" t="n">
        <x:v>14</x:v>
      </x:c>
      <x:c r="F467" s="68" t="n">
        <x:v>31</x:v>
      </x:c>
      <x:c r="G467" s="68" t="n">
        <x:v>45</x:v>
      </x:c>
      <x:c r="H467" s="82" t="n">
        <x:v>639.31667</x:v>
      </x:c>
      <x:c r="I467" s="82" t="n">
        <x:v>75.928588</x:v>
      </x:c>
      <x:c r="J467" s="82" t="n">
        <x:v>186.787098</x:v>
      </x:c>
      <x:c r="K467" s="68" t="n">
        <x:f>E467-D467</x:f>
        <x:v>-17</x:v>
      </x:c>
      <x:c r="L467" s="68" t="n">
        <x:f>ABS(K467)</x:f>
        <x:v>17</x:v>
      </x:c>
    </x:row>
    <x:row r="468" ht="22" customHeight="1">
      <x:c r="A468" s="68" t="str">
        <x:v>UP</x:v>
      </x:c>
      <x:c r="B468" s="68" t="str">
        <x:v>2026-02-22</x:v>
      </x:c>
      <x:c r="C468" s="68" t="n">
        <x:v>10</x:v>
      </x:c>
      <x:c r="D468" s="68" t="n">
        <x:v>26</x:v>
      </x:c>
      <x:c r="E468" s="68" t="n">
        <x:v>11</x:v>
      </x:c>
      <x:c r="F468" s="68" t="n">
        <x:v>25</x:v>
      </x:c>
      <x:c r="G468" s="68" t="n">
        <x:v>36</x:v>
      </x:c>
      <x:c r="H468" s="82" t="n">
        <x:v>570.43333</x:v>
      </x:c>
      <x:c r="I468" s="82" t="n">
        <x:v>129.925434</x:v>
      </x:c>
      <x:c r="J468" s="82" t="n">
        <x:v>151.831284</x:v>
      </x:c>
      <x:c r="K468" s="68" t="n">
        <x:f>E468-D468</x:f>
        <x:v>-15</x:v>
      </x:c>
      <x:c r="L468" s="68" t="n">
        <x:f>ABS(K468)</x:f>
        <x:v>15</x:v>
      </x:c>
    </x:row>
    <x:row r="469" ht="22" customHeight="1">
      <x:c r="A469" s="68" t="str">
        <x:v>UP</x:v>
      </x:c>
      <x:c r="B469" s="68" t="str">
        <x:v>2026-02-22</x:v>
      </x:c>
      <x:c r="C469" s="68" t="n">
        <x:v>11</x:v>
      </x:c>
      <x:c r="D469" s="68" t="n">
        <x:v>35</x:v>
      </x:c>
      <x:c r="E469" s="68" t="n">
        <x:v>19</x:v>
      </x:c>
      <x:c r="F469" s="68" t="n">
        <x:v>44</x:v>
      </x:c>
      <x:c r="G469" s="68" t="n">
        <x:v>63</x:v>
      </x:c>
      <x:c r="H469" s="82" t="n">
        <x:v>913.86667</x:v>
      </x:c>
      <x:c r="I469" s="82" t="n">
        <x:v>207.471508</x:v>
      </x:c>
      <x:c r="J469" s="82" t="n">
        <x:v>252.326819</x:v>
      </x:c>
      <x:c r="K469" s="68" t="n">
        <x:f>E469-D469</x:f>
        <x:v>-16</x:v>
      </x:c>
      <x:c r="L469" s="68" t="n">
        <x:f>ABS(K469)</x:f>
        <x:v>16</x:v>
      </x:c>
    </x:row>
    <x:row r="470" ht="22" customHeight="1">
      <x:c r="A470" s="68" t="str">
        <x:v>UP</x:v>
      </x:c>
      <x:c r="B470" s="68" t="str">
        <x:v>2026-02-22</x:v>
      </x:c>
      <x:c r="C470" s="68" t="n">
        <x:v>12</x:v>
      </x:c>
      <x:c r="D470" s="68" t="n">
        <x:v>27</x:v>
      </x:c>
      <x:c r="E470" s="68" t="n">
        <x:v>23</x:v>
      </x:c>
      <x:c r="F470" s="68" t="n">
        <x:v>45</x:v>
      </x:c>
      <x:c r="G470" s="68" t="n">
        <x:v>68</x:v>
      </x:c>
      <x:c r="H470" s="82" t="n">
        <x:v>680.68333</x:v>
      </x:c>
      <x:c r="I470" s="82" t="n">
        <x:v>214.156861</x:v>
      </x:c>
      <x:c r="J470" s="82" t="n">
        <x:v>259.078939</x:v>
      </x:c>
      <x:c r="K470" s="68" t="n">
        <x:f>E470-D470</x:f>
        <x:v>-4</x:v>
      </x:c>
      <x:c r="L470" s="68" t="n">
        <x:f>ABS(K470)</x:f>
        <x:v>4</x:v>
      </x:c>
    </x:row>
    <x:row r="471" ht="22" customHeight="1">
      <x:c r="A471" s="68" t="str">
        <x:v>UP</x:v>
      </x:c>
      <x:c r="B471" s="68" t="str">
        <x:v>2026-02-22</x:v>
      </x:c>
      <x:c r="C471" s="68" t="n">
        <x:v>13</x:v>
      </x:c>
      <x:c r="D471" s="68" t="n">
        <x:v>38</x:v>
      </x:c>
      <x:c r="E471" s="68" t="n">
        <x:v>18</x:v>
      </x:c>
      <x:c r="F471" s="68" t="n">
        <x:v>42</x:v>
      </x:c>
      <x:c r="G471" s="68" t="n">
        <x:v>60</x:v>
      </x:c>
      <x:c r="H471" s="82" t="n">
        <x:v>869.13332</x:v>
      </x:c>
      <x:c r="I471" s="82" t="n">
        <x:v>168.106553</x:v>
      </x:c>
      <x:c r="J471" s="82" t="n">
        <x:v>249.326084</x:v>
      </x:c>
      <x:c r="K471" s="68" t="n">
        <x:f>E471-D471</x:f>
        <x:v>-20</x:v>
      </x:c>
      <x:c r="L471" s="68" t="n">
        <x:f>ABS(K471)</x:f>
        <x:v>20</x:v>
      </x:c>
    </x:row>
    <x:row r="472" ht="22" customHeight="1">
      <x:c r="A472" s="68" t="str">
        <x:v>UP</x:v>
      </x:c>
      <x:c r="B472" s="68" t="str">
        <x:v>2026-02-22</x:v>
      </x:c>
      <x:c r="C472" s="68" t="n">
        <x:v>14</x:v>
      </x:c>
      <x:c r="D472" s="68" t="n">
        <x:v>36</x:v>
      </x:c>
      <x:c r="E472" s="68" t="n">
        <x:v>21</x:v>
      </x:c>
      <x:c r="F472" s="68" t="n">
        <x:v>41</x:v>
      </x:c>
      <x:c r="G472" s="68" t="n">
        <x:v>62</x:v>
      </x:c>
      <x:c r="H472" s="82" t="n">
        <x:v>957.10001</x:v>
      </x:c>
      <x:c r="I472" s="82" t="n">
        <x:v>369.401554</x:v>
      </x:c>
      <x:c r="J472" s="82" t="n">
        <x:v>292.063371</x:v>
      </x:c>
      <x:c r="K472" s="68" t="n">
        <x:f>E472-D472</x:f>
        <x:v>-15</x:v>
      </x:c>
      <x:c r="L472" s="68" t="n">
        <x:f>ABS(K472)</x:f>
        <x:v>15</x:v>
      </x:c>
    </x:row>
    <x:row r="473" ht="22" customHeight="1">
      <x:c r="A473" s="68" t="str">
        <x:v>UP</x:v>
      </x:c>
      <x:c r="B473" s="68" t="str">
        <x:v>2026-02-22</x:v>
      </x:c>
      <x:c r="C473" s="68" t="n">
        <x:v>15</x:v>
      </x:c>
      <x:c r="D473" s="68" t="n">
        <x:v>43</x:v>
      </x:c>
      <x:c r="E473" s="68" t="n">
        <x:v>18</x:v>
      </x:c>
      <x:c r="F473" s="68" t="n">
        <x:v>45</x:v>
      </x:c>
      <x:c r="G473" s="68" t="n">
        <x:v>63</x:v>
      </x:c>
      <x:c r="H473" s="82" t="n">
        <x:v>953.56666</x:v>
      </x:c>
      <x:c r="I473" s="82" t="n">
        <x:v>185.325778</x:v>
      </x:c>
      <x:c r="J473" s="82" t="n">
        <x:v>303.621518</x:v>
      </x:c>
      <x:c r="K473" s="68" t="n">
        <x:f>E473-D473</x:f>
        <x:v>-25</x:v>
      </x:c>
      <x:c r="L473" s="68" t="n">
        <x:f>ABS(K473)</x:f>
        <x:v>25</x:v>
      </x:c>
    </x:row>
    <x:row r="474" ht="22" customHeight="1">
      <x:c r="A474" s="68" t="str">
        <x:v>UP</x:v>
      </x:c>
      <x:c r="B474" s="68" t="str">
        <x:v>2026-02-22</x:v>
      </x:c>
      <x:c r="C474" s="68" t="n">
        <x:v>16</x:v>
      </x:c>
      <x:c r="D474" s="68" t="n">
        <x:v>37</x:v>
      </x:c>
      <x:c r="E474" s="68" t="n">
        <x:v>21</x:v>
      </x:c>
      <x:c r="F474" s="68" t="n">
        <x:v>33</x:v>
      </x:c>
      <x:c r="G474" s="68" t="n">
        <x:v>54</x:v>
      </x:c>
      <x:c r="H474" s="82" t="n">
        <x:v>1025.51666</x:v>
      </x:c>
      <x:c r="I474" s="82" t="n">
        <x:v>270.850306</x:v>
      </x:c>
      <x:c r="J474" s="82" t="n">
        <x:v>225.669246</x:v>
      </x:c>
      <x:c r="K474" s="68" t="n">
        <x:f>E474-D474</x:f>
        <x:v>-16</x:v>
      </x:c>
      <x:c r="L474" s="68" t="n">
        <x:f>ABS(K474)</x:f>
        <x:v>16</x:v>
      </x:c>
    </x:row>
    <x:row r="475" ht="22" customHeight="1">
      <x:c r="A475" s="68" t="str">
        <x:v>UP</x:v>
      </x:c>
      <x:c r="B475" s="68" t="str">
        <x:v>2026-02-22</x:v>
      </x:c>
      <x:c r="C475" s="68" t="n">
        <x:v>17</x:v>
      </x:c>
      <x:c r="D475" s="68" t="n">
        <x:v>44</x:v>
      </x:c>
      <x:c r="E475" s="68" t="n">
        <x:v>25</x:v>
      </x:c>
      <x:c r="F475" s="68" t="n">
        <x:v>50</x:v>
      </x:c>
      <x:c r="G475" s="68" t="n">
        <x:v>75</x:v>
      </x:c>
      <x:c r="H475" s="82" t="n">
        <x:v>931.98333</x:v>
      </x:c>
      <x:c r="I475" s="82" t="n">
        <x:v>261.969867</x:v>
      </x:c>
      <x:c r="J475" s="82" t="n">
        <x:v>353.080076</x:v>
      </x:c>
      <x:c r="K475" s="68" t="n">
        <x:f>E475-D475</x:f>
        <x:v>-19</x:v>
      </x:c>
      <x:c r="L475" s="68" t="n">
        <x:f>ABS(K475)</x:f>
        <x:v>19</x:v>
      </x:c>
    </x:row>
    <x:row r="476" ht="22" customHeight="1">
      <x:c r="A476" s="68" t="str">
        <x:v>UP</x:v>
      </x:c>
      <x:c r="B476" s="68" t="str">
        <x:v>2026-02-22</x:v>
      </x:c>
      <x:c r="C476" s="68" t="n">
        <x:v>18</x:v>
      </x:c>
      <x:c r="D476" s="68" t="n">
        <x:v>35</x:v>
      </x:c>
      <x:c r="E476" s="68" t="n">
        <x:v>31</x:v>
      </x:c>
      <x:c r="F476" s="68" t="n">
        <x:v>41</x:v>
      </x:c>
      <x:c r="G476" s="68" t="n">
        <x:v>72</x:v>
      </x:c>
      <x:c r="H476" s="82" t="n">
        <x:v>935.96668</x:v>
      </x:c>
      <x:c r="I476" s="82" t="n">
        <x:v>388.080724</x:v>
      </x:c>
      <x:c r="J476" s="82" t="n">
        <x:v>311.123249</x:v>
      </x:c>
      <x:c r="K476" s="68" t="n">
        <x:f>E476-D476</x:f>
        <x:v>-4</x:v>
      </x:c>
      <x:c r="L476" s="68" t="n">
        <x:f>ABS(K476)</x:f>
        <x:v>4</x:v>
      </x:c>
    </x:row>
    <x:row r="477" ht="22" customHeight="1">
      <x:c r="A477" s="68" t="str">
        <x:v>UP</x:v>
      </x:c>
      <x:c r="B477" s="68" t="str">
        <x:v>2026-02-22</x:v>
      </x:c>
      <x:c r="C477" s="68" t="n">
        <x:v>19</x:v>
      </x:c>
      <x:c r="D477" s="68" t="n">
        <x:v>37</x:v>
      </x:c>
      <x:c r="E477" s="68" t="n">
        <x:v>32</x:v>
      </x:c>
      <x:c r="F477" s="68" t="n">
        <x:v>39</x:v>
      </x:c>
      <x:c r="G477" s="68" t="n">
        <x:v>71</x:v>
      </x:c>
      <x:c r="H477" s="82" t="n">
        <x:v>1037.93333</x:v>
      </x:c>
      <x:c r="I477" s="82" t="n">
        <x:v>427.479885</x:v>
      </x:c>
      <x:c r="J477" s="82" t="n">
        <x:v>345.852306</x:v>
      </x:c>
      <x:c r="K477" s="68" t="n">
        <x:f>E477-D477</x:f>
        <x:v>-5</x:v>
      </x:c>
      <x:c r="L477" s="68" t="n">
        <x:f>ABS(K477)</x:f>
        <x:v>5</x:v>
      </x:c>
    </x:row>
    <x:row r="478" ht="22" customHeight="1">
      <x:c r="A478" s="68" t="str">
        <x:v>UP</x:v>
      </x:c>
      <x:c r="B478" s="68" t="str">
        <x:v>2026-02-22</x:v>
      </x:c>
      <x:c r="C478" s="68" t="n">
        <x:v>20</x:v>
      </x:c>
      <x:c r="D478" s="68" t="n">
        <x:v>41</x:v>
      </x:c>
      <x:c r="E478" s="68" t="n">
        <x:v>22</x:v>
      </x:c>
      <x:c r="F478" s="68" t="n">
        <x:v>49</x:v>
      </x:c>
      <x:c r="G478" s="68" t="n">
        <x:v>71</x:v>
      </x:c>
      <x:c r="H478" s="82" t="n">
        <x:v>887.66667</x:v>
      </x:c>
      <x:c r="I478" s="82" t="n">
        <x:v>272.232911</x:v>
      </x:c>
      <x:c r="J478" s="82" t="n">
        <x:v>333.940657</x:v>
      </x:c>
      <x:c r="K478" s="68" t="n">
        <x:f>E478-D478</x:f>
        <x:v>-19</x:v>
      </x:c>
      <x:c r="L478" s="68" t="n">
        <x:f>ABS(K478)</x:f>
        <x:v>19</x:v>
      </x:c>
    </x:row>
    <x:row r="479" ht="22" customHeight="1">
      <x:c r="A479" s="68" t="str">
        <x:v>UP</x:v>
      </x:c>
      <x:c r="B479" s="68" t="str">
        <x:v>2026-02-22</x:v>
      </x:c>
      <x:c r="C479" s="68" t="n">
        <x:v>21</x:v>
      </x:c>
      <x:c r="D479" s="68" t="n">
        <x:v>30</x:v>
      </x:c>
      <x:c r="E479" s="68" t="n">
        <x:v>22</x:v>
      </x:c>
      <x:c r="F479" s="68" t="n">
        <x:v>37</x:v>
      </x:c>
      <x:c r="G479" s="68" t="n">
        <x:v>59</x:v>
      </x:c>
      <x:c r="H479" s="82" t="n">
        <x:v>809.36667</x:v>
      </x:c>
      <x:c r="I479" s="82" t="n">
        <x:v>201.41449</x:v>
      </x:c>
      <x:c r="J479" s="82" t="n">
        <x:v>186.524694</x:v>
      </x:c>
      <x:c r="K479" s="68" t="n">
        <x:f>E479-D479</x:f>
        <x:v>-8</x:v>
      </x:c>
      <x:c r="L479" s="68" t="n">
        <x:f>ABS(K479)</x:f>
        <x:v>8</x:v>
      </x:c>
    </x:row>
    <x:row r="480" ht="22" customHeight="1">
      <x:c r="A480" s="68" t="str">
        <x:v>UP</x:v>
      </x:c>
      <x:c r="B480" s="68" t="str">
        <x:v>2026-02-22</x:v>
      </x:c>
      <x:c r="C480" s="68" t="n">
        <x:v>22</x:v>
      </x:c>
      <x:c r="D480" s="68" t="n">
        <x:v>11</x:v>
      </x:c>
      <x:c r="E480" s="68" t="n">
        <x:v>16</x:v>
      </x:c>
      <x:c r="F480" s="68" t="n">
        <x:v>36</x:v>
      </x:c>
      <x:c r="G480" s="68" t="n">
        <x:v>52</x:v>
      </x:c>
      <x:c r="H480" s="82" t="n">
        <x:v>427.80001</x:v>
      </x:c>
      <x:c r="I480" s="82" t="n">
        <x:v>232.621855</x:v>
      </x:c>
      <x:c r="J480" s="82" t="n">
        <x:v>227.887641</x:v>
      </x:c>
      <x:c r="K480" s="68" t="n">
        <x:f>E480-D480</x:f>
        <x:v>5</x:v>
      </x:c>
      <x:c r="L480" s="68" t="n">
        <x:f>ABS(K480)</x:f>
        <x:v>5</x:v>
      </x:c>
    </x:row>
    <x:row r="481" ht="22" customHeight="1">
      <x:c r="A481" s="68" t="str">
        <x:v>UP</x:v>
      </x:c>
      <x:c r="B481" s="68" t="str">
        <x:v>2026-02-22</x:v>
      </x:c>
      <x:c r="C481" s="68" t="n">
        <x:v>23</x:v>
      </x:c>
      <x:c r="D481" s="68" t="n">
        <x:v>11</x:v>
      </x:c>
      <x:c r="E481" s="68" t="n">
        <x:v>16</x:v>
      </x:c>
      <x:c r="F481" s="68" t="n">
        <x:v>17</x:v>
      </x:c>
      <x:c r="G481" s="68" t="n">
        <x:v>33</x:v>
      </x:c>
      <x:c r="H481" s="82" t="n">
        <x:v>309.38334</x:v>
      </x:c>
      <x:c r="I481" s="82" t="n">
        <x:v>181.833262</x:v>
      </x:c>
      <x:c r="J481" s="82" t="n">
        <x:v>143.556091</x:v>
      </x:c>
      <x:c r="K481" s="68" t="n">
        <x:f>E481-D481</x:f>
        <x:v>5</x:v>
      </x:c>
      <x:c r="L481" s="68" t="n">
        <x:f>ABS(K481)</x:f>
        <x:v>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9" hidden="0" customWidth="1"/>
    <x:col min="3" max="3" width="22" hidden="0" customWidth="1"/>
    <x:col min="4" max="4" width="40" hidden="0" customWidth="1"/>
    <x:col min="5" max="5" width="16" hidden="0" customWidth="1"/>
    <x:col min="6" max="6" width="19" hidden="0" customWidth="1"/>
    <x:col min="7" max="7" width="18" hidden="0" customWidth="1"/>
    <x:col min="8" max="8" width="22" hidden="0" customWidth="1"/>
    <x:col min="9" max="9" width="20" hidden="0" customWidth="1"/>
    <x:col min="10" max="10" width="23" hidden="0" customWidth="1"/>
    <x:col min="11" max="11" width="23" hidden="0" customWidth="1"/>
    <x:col min="12" max="12" width="21" hidden="0" customWidth="1"/>
    <x:col min="13" max="13" width="20" hidden="0" customWidth="1"/>
    <x:col min="14" max="14" width="16" hidden="0" customWidth="1"/>
    <x:col min="15" max="15" width="67" hidden="0" customWidth="1"/>
  </x:cols>
  <x:sheetData>
    <x:row r="1" ht="31" customHeight="1">
      <x:c r="A1" s="63" t="str">
        <x:v>방향</x:v>
      </x:c>
      <x:c r="B1" s="63" t="str">
        <x:v>날짜</x:v>
      </x:c>
      <x:c r="C1" s="63" t="str">
        <x:v>사용 유형</x:v>
      </x:c>
      <x:c r="D1" s="63" t="str">
        <x:v>날짜 근거</x:v>
      </x:c>
      <x:c r="E1" s="63" t="str">
        <x:v>진입 EV</x:v>
      </x:c>
      <x:c r="F1" s="63" t="str">
        <x:v>충전 필요 EV</x:v>
      </x:c>
      <x:c r="G1" s="63" t="str">
        <x:v>충전 불가 EV</x:v>
      </x:c>
      <x:c r="H1" s="63" t="str">
        <x:v>전체 이벤트(전시간)</x:v>
      </x:c>
      <x:c r="I1" s="63" t="str">
        <x:v>ME 전체 이벤트</x:v>
      </x:c>
      <x:c r="J1" s="63" t="str">
        <x:v>NONME 전체 이벤트</x:v>
      </x:c>
      <x:c r="K1" s="63" t="str">
        <x:v>당일 밖 시작 ALL</x:v>
      </x:c>
      <x:c r="L1" s="63" t="str">
        <x:v>당일 밖 시작 ME</x:v>
      </x:c>
      <x:c r="M1" s="63" t="str">
        <x:v>OD</x:v>
      </x:c>
      <x:c r="N1" s="63" t="str">
        <x:v>habit_soc</x:v>
      </x:c>
      <x:c r="O1" s="63" t="str">
        <x:v>Run ID</x:v>
      </x:c>
    </x:row>
    <x:row r="2" ht="22" customHeight="1">
      <x:c r="A2" s="68" t="str">
        <x:v>DOWN</x:v>
      </x:c>
      <x:c r="B2" s="68" t="str">
        <x:v>2026-02-13</x:v>
      </x:c>
      <x:c r="C2" s="68" t="str">
        <x:v>PEAK_REUSED</x:v>
      </x:c>
      <x:c r="D2" s="68" t="str">
        <x:v>PROFILE_DATE_INFERRED_IN_PRIOR_VALIDATION</x:v>
      </x:c>
      <x:c r="E2" s="68" t="n">
        <x:v>18534</x:v>
      </x:c>
      <x:c r="F2" s="68" t="n">
        <x:v>1923</x:v>
      </x:c>
      <x:c r="G2" s="68" t="n">
        <x:v>0</x:v>
      </x:c>
      <x:c r="H2" s="68" t="n">
        <x:v>1999</x:v>
      </x:c>
      <x:c r="I2" s="68" t="n">
        <x:v>431</x:v>
      </x:c>
      <x:c r="J2" s="68" t="n">
        <x:v>1568</x:v>
      </x:c>
      <x:c r="K2" s="68" t="n">
        <x:v>54</x:v>
      </x:c>
      <x:c r="L2" s="68" t="n">
        <x:v>17</x:v>
      </x:c>
      <x:c r="M2" s="68" t="str">
        <x:v>None</x:v>
      </x:c>
      <x:c r="N2" s="68" t="n">
        <x:v>0</x:v>
      </x:c>
      <x:c r="O2" s="68" t="str">
        <x:v>seollal_2026_down_base__sp364-op-base215__UE__p100__s0007</x:v>
      </x:c>
    </x:row>
    <x:row r="3" ht="22" customHeight="1">
      <x:c r="A3" s="68" t="str">
        <x:v>DOWN</x:v>
      </x:c>
      <x:c r="B3" s="68" t="str">
        <x:v>2026-02-14</x:v>
      </x:c>
      <x:c r="C3" s="68" t="str">
        <x:v>DAILY</x:v>
      </x:c>
      <x:c r="D3" s="68" t="str">
        <x:v>EXPLICIT_DAY_INPUT</x:v>
      </x:c>
      <x:c r="E3" s="68" t="n">
        <x:v>18017</x:v>
      </x:c>
      <x:c r="F3" s="68" t="n">
        <x:v>1944</x:v>
      </x:c>
      <x:c r="G3" s="68" t="n">
        <x:v>0</x:v>
      </x:c>
      <x:c r="H3" s="68" t="n">
        <x:v>2004</x:v>
      </x:c>
      <x:c r="I3" s="68" t="n">
        <x:v>416</x:v>
      </x:c>
      <x:c r="J3" s="68" t="n">
        <x:v>1588</x:v>
      </x:c>
      <x:c r="K3" s="68" t="n">
        <x:v>21</x:v>
      </x:c>
      <x:c r="L3" s="68" t="n">
        <x:v>3</x:v>
      </x:c>
      <x:c r="M3" s="68" t="str">
        <x:v>None</x:v>
      </x:c>
      <x:c r="N3" s="68" t="n">
        <x:v>0</x:v>
      </x:c>
      <x:c r="O3" s="68" t="str">
        <x:v>seollal_2026_down_base__sp364-op-base215__day-2026-02-14__UE__p100__s0007</x:v>
      </x:c>
    </x:row>
    <x:row r="4" ht="22" customHeight="1">
      <x:c r="A4" s="68" t="str">
        <x:v>DOWN</x:v>
      </x:c>
      <x:c r="B4" s="68" t="str">
        <x:v>2026-02-15</x:v>
      </x:c>
      <x:c r="C4" s="68" t="str">
        <x:v>DAILY</x:v>
      </x:c>
      <x:c r="D4" s="68" t="str">
        <x:v>EXPLICIT_DAY_INPUT</x:v>
      </x:c>
      <x:c r="E4" s="68" t="n">
        <x:v>17909</x:v>
      </x:c>
      <x:c r="F4" s="68" t="n">
        <x:v>1941</x:v>
      </x:c>
      <x:c r="G4" s="68" t="n">
        <x:v>0</x:v>
      </x:c>
      <x:c r="H4" s="68" t="n">
        <x:v>2021</x:v>
      </x:c>
      <x:c r="I4" s="68" t="n">
        <x:v>409</x:v>
      </x:c>
      <x:c r="J4" s="68" t="n">
        <x:v>1612</x:v>
      </x:c>
      <x:c r="K4" s="68" t="n">
        <x:v>33</x:v>
      </x:c>
      <x:c r="L4" s="68" t="n">
        <x:v>13</x:v>
      </x:c>
      <x:c r="M4" s="68" t="str">
        <x:v>None</x:v>
      </x:c>
      <x:c r="N4" s="68" t="n">
        <x:v>0</x:v>
      </x:c>
      <x:c r="O4" s="68" t="str">
        <x:v>seollal_2026_down_base__sp364-op-base215__day-2026-02-15__UE__p100__s0007</x:v>
      </x:c>
    </x:row>
    <x:row r="5" ht="22" customHeight="1">
      <x:c r="A5" s="68" t="str">
        <x:v>DOWN</x:v>
      </x:c>
      <x:c r="B5" s="68" t="str">
        <x:v>2026-02-16</x:v>
      </x:c>
      <x:c r="C5" s="68" t="str">
        <x:v>DAILY</x:v>
      </x:c>
      <x:c r="D5" s="68" t="str">
        <x:v>EXPLICIT_DAY_INPUT</x:v>
      </x:c>
      <x:c r="E5" s="68" t="n">
        <x:v>15710</x:v>
      </x:c>
      <x:c r="F5" s="68" t="n">
        <x:v>1873</x:v>
      </x:c>
      <x:c r="G5" s="68" t="n">
        <x:v>0</x:v>
      </x:c>
      <x:c r="H5" s="68" t="n">
        <x:v>1971</x:v>
      </x:c>
      <x:c r="I5" s="68" t="n">
        <x:v>438</x:v>
      </x:c>
      <x:c r="J5" s="68" t="n">
        <x:v>1533</x:v>
      </x:c>
      <x:c r="K5" s="68" t="n">
        <x:v>26</x:v>
      </x:c>
      <x:c r="L5" s="68" t="n">
        <x:v>7</x:v>
      </x:c>
      <x:c r="M5" s="68" t="str">
        <x:v>None</x:v>
      </x:c>
      <x:c r="N5" s="68" t="n">
        <x:v>0</x:v>
      </x:c>
      <x:c r="O5" s="68" t="str">
        <x:v>seollal_2026_down_base__sp364-op-base215__day-2026-02-16__UE__p100__s0007</x:v>
      </x:c>
    </x:row>
    <x:row r="6" ht="22" customHeight="1">
      <x:c r="A6" s="68" t="str">
        <x:v>DOWN</x:v>
      </x:c>
      <x:c r="B6" s="68" t="str">
        <x:v>2026-02-17</x:v>
      </x:c>
      <x:c r="C6" s="68" t="str">
        <x:v>DAILY</x:v>
      </x:c>
      <x:c r="D6" s="68" t="str">
        <x:v>EXPLICIT_DAY_INPUT</x:v>
      </x:c>
      <x:c r="E6" s="68" t="n">
        <x:v>17364</x:v>
      </x:c>
      <x:c r="F6" s="68" t="n">
        <x:v>2093</x:v>
      </x:c>
      <x:c r="G6" s="68" t="n">
        <x:v>0</x:v>
      </x:c>
      <x:c r="H6" s="68" t="n">
        <x:v>2206</x:v>
      </x:c>
      <x:c r="I6" s="68" t="n">
        <x:v>527</x:v>
      </x:c>
      <x:c r="J6" s="68" t="n">
        <x:v>1679</x:v>
      </x:c>
      <x:c r="K6" s="68" t="n">
        <x:v>26</x:v>
      </x:c>
      <x:c r="L6" s="68" t="n">
        <x:v>12</x:v>
      </x:c>
      <x:c r="M6" s="68" t="str">
        <x:v>None</x:v>
      </x:c>
      <x:c r="N6" s="68" t="n">
        <x:v>0</x:v>
      </x:c>
      <x:c r="O6" s="68" t="str">
        <x:v>seollal_2026_down_base__sp364-op-base215__day-2026-02-17__UE__p100__s0007</x:v>
      </x:c>
    </x:row>
    <x:row r="7" ht="22" customHeight="1">
      <x:c r="A7" s="68" t="str">
        <x:v>DOWN</x:v>
      </x:c>
      <x:c r="B7" s="68" t="str">
        <x:v>2026-02-18</x:v>
      </x:c>
      <x:c r="C7" s="68" t="str">
        <x:v>DAILY</x:v>
      </x:c>
      <x:c r="D7" s="68" t="str">
        <x:v>EXPLICIT_DAY_INPUT</x:v>
      </x:c>
      <x:c r="E7" s="68" t="n">
        <x:v>14340</x:v>
      </x:c>
      <x:c r="F7" s="68" t="n">
        <x:v>1537</x:v>
      </x:c>
      <x:c r="G7" s="68" t="n">
        <x:v>0</x:v>
      </x:c>
      <x:c r="H7" s="68" t="n">
        <x:v>1607</x:v>
      </x:c>
      <x:c r="I7" s="68" t="n">
        <x:v>420</x:v>
      </x:c>
      <x:c r="J7" s="68" t="n">
        <x:v>1187</x:v>
      </x:c>
      <x:c r="K7" s="68" t="n">
        <x:v>17</x:v>
      </x:c>
      <x:c r="L7" s="68" t="n">
        <x:v>9</x:v>
      </x:c>
      <x:c r="M7" s="68" t="str">
        <x:v>None</x:v>
      </x:c>
      <x:c r="N7" s="68" t="n">
        <x:v>0</x:v>
      </x:c>
      <x:c r="O7" s="68" t="str">
        <x:v>seollal_2026_down_base__sp364-op-base215__day-2026-02-18__UE__p100__s0007</x:v>
      </x:c>
    </x:row>
    <x:row r="8" ht="22" customHeight="1">
      <x:c r="A8" s="68" t="str">
        <x:v>DOWN</x:v>
      </x:c>
      <x:c r="B8" s="68" t="str">
        <x:v>2026-02-19</x:v>
      </x:c>
      <x:c r="C8" s="68" t="str">
        <x:v>DAILY</x:v>
      </x:c>
      <x:c r="D8" s="68" t="str">
        <x:v>EXPLICIT_DAY_INPUT</x:v>
      </x:c>
      <x:c r="E8" s="68" t="n">
        <x:v>14662</x:v>
      </x:c>
      <x:c r="F8" s="68" t="n">
        <x:v>1434</x:v>
      </x:c>
      <x:c r="G8" s="68" t="n">
        <x:v>1</x:v>
      </x:c>
      <x:c r="H8" s="68" t="n">
        <x:v>1491</x:v>
      </x:c>
      <x:c r="I8" s="68" t="n">
        <x:v>333</x:v>
      </x:c>
      <x:c r="J8" s="68" t="n">
        <x:v>1158</x:v>
      </x:c>
      <x:c r="K8" s="68" t="n">
        <x:v>20</x:v>
      </x:c>
      <x:c r="L8" s="68" t="n">
        <x:v>12</x:v>
      </x:c>
      <x:c r="M8" s="68" t="str">
        <x:v>None</x:v>
      </x:c>
      <x:c r="N8" s="68" t="n">
        <x:v>0</x:v>
      </x:c>
      <x:c r="O8" s="68" t="str">
        <x:v>seollal_2026_down_base__sp364-op-base215__day-2026-02-19__UE__p100__s0007</x:v>
      </x:c>
    </x:row>
    <x:row r="9" ht="22" customHeight="1">
      <x:c r="A9" s="68" t="str">
        <x:v>DOWN</x:v>
      </x:c>
      <x:c r="B9" s="68" t="str">
        <x:v>2026-02-20</x:v>
      </x:c>
      <x:c r="C9" s="68" t="str">
        <x:v>DAILY</x:v>
      </x:c>
      <x:c r="D9" s="68" t="str">
        <x:v>EXPLICIT_DAY_INPUT</x:v>
      </x:c>
      <x:c r="E9" s="68" t="n">
        <x:v>16121</x:v>
      </x:c>
      <x:c r="F9" s="68" t="n">
        <x:v>1513</x:v>
      </x:c>
      <x:c r="G9" s="68" t="n">
        <x:v>0</x:v>
      </x:c>
      <x:c r="H9" s="68" t="n">
        <x:v>1584</x:v>
      </x:c>
      <x:c r="I9" s="68" t="n">
        <x:v>350</x:v>
      </x:c>
      <x:c r="J9" s="68" t="n">
        <x:v>1234</x:v>
      </x:c>
      <x:c r="K9" s="68" t="n">
        <x:v>22</x:v>
      </x:c>
      <x:c r="L9" s="68" t="n">
        <x:v>8</x:v>
      </x:c>
      <x:c r="M9" s="68" t="str">
        <x:v>None</x:v>
      </x:c>
      <x:c r="N9" s="68" t="n">
        <x:v>0</x:v>
      </x:c>
      <x:c r="O9" s="68" t="str">
        <x:v>seollal_2026_down_base__sp364-op-base215__day-2026-02-20__UE__p100__s0007</x:v>
      </x:c>
    </x:row>
    <x:row r="10" ht="22" customHeight="1">
      <x:c r="A10" s="68" t="str">
        <x:v>DOWN</x:v>
      </x:c>
      <x:c r="B10" s="68" t="str">
        <x:v>2026-02-21</x:v>
      </x:c>
      <x:c r="C10" s="68" t="str">
        <x:v>DAILY</x:v>
      </x:c>
      <x:c r="D10" s="68" t="str">
        <x:v>EXPLICIT_DAY_INPUT</x:v>
      </x:c>
      <x:c r="E10" s="68" t="n">
        <x:v>14558</x:v>
      </x:c>
      <x:c r="F10" s="68" t="n">
        <x:v>1460</x:v>
      </x:c>
      <x:c r="G10" s="68" t="n">
        <x:v>0</x:v>
      </x:c>
      <x:c r="H10" s="68" t="n">
        <x:v>1521</x:v>
      </x:c>
      <x:c r="I10" s="68" t="n">
        <x:v>340</x:v>
      </x:c>
      <x:c r="J10" s="68" t="n">
        <x:v>1181</x:v>
      </x:c>
      <x:c r="K10" s="68" t="n">
        <x:v>14</x:v>
      </x:c>
      <x:c r="L10" s="68" t="n">
        <x:v>8</x:v>
      </x:c>
      <x:c r="M10" s="68" t="str">
        <x:v>None</x:v>
      </x:c>
      <x:c r="N10" s="68" t="n">
        <x:v>0</x:v>
      </x:c>
      <x:c r="O10" s="68" t="str">
        <x:v>seollal_2026_down_base__sp364-op-base215__day-2026-02-21__UE__p100__s0007</x:v>
      </x:c>
    </x:row>
    <x:row r="11" ht="22" customHeight="1">
      <x:c r="A11" s="68" t="str">
        <x:v>DOWN</x:v>
      </x:c>
      <x:c r="B11" s="68" t="str">
        <x:v>2026-02-22</x:v>
      </x:c>
      <x:c r="C11" s="68" t="str">
        <x:v>DAILY</x:v>
      </x:c>
      <x:c r="D11" s="68" t="str">
        <x:v>EXPLICIT_DAY_INPUT</x:v>
      </x:c>
      <x:c r="E11" s="68" t="n">
        <x:v>13283</x:v>
      </x:c>
      <x:c r="F11" s="68" t="n">
        <x:v>1322</x:v>
      </x:c>
      <x:c r="G11" s="68" t="n">
        <x:v>0</x:v>
      </x:c>
      <x:c r="H11" s="68" t="n">
        <x:v>1383</x:v>
      </x:c>
      <x:c r="I11" s="68" t="n">
        <x:v>333</x:v>
      </x:c>
      <x:c r="J11" s="68" t="n">
        <x:v>1050</x:v>
      </x:c>
      <x:c r="K11" s="68" t="n">
        <x:v>20</x:v>
      </x:c>
      <x:c r="L11" s="68" t="n">
        <x:v>9</x:v>
      </x:c>
      <x:c r="M11" s="68" t="str">
        <x:v>None</x:v>
      </x:c>
      <x:c r="N11" s="68" t="n">
        <x:v>0</x:v>
      </x:c>
      <x:c r="O11" s="68" t="str">
        <x:v>seollal_2026_down_base__sp364-op-base215__day-2026-02-22__UE__p100__s0007</x:v>
      </x:c>
    </x:row>
    <x:row r="12" ht="22" customHeight="1">
      <x:c r="A12" s="68" t="str">
        <x:v>UP</x:v>
      </x:c>
      <x:c r="B12" s="68" t="str">
        <x:v>2026-02-13</x:v>
      </x:c>
      <x:c r="C12" s="68" t="str">
        <x:v>DAILY</x:v>
      </x:c>
      <x:c r="D12" s="68" t="str">
        <x:v>EXPLICIT_DAY_INPUT</x:v>
      </x:c>
      <x:c r="E12" s="68" t="n">
        <x:v>17234</x:v>
      </x:c>
      <x:c r="F12" s="68" t="n">
        <x:v>1538</x:v>
      </x:c>
      <x:c r="G12" s="68" t="n">
        <x:v>0</x:v>
      </x:c>
      <x:c r="H12" s="68" t="n">
        <x:v>1579</x:v>
      </x:c>
      <x:c r="I12" s="68" t="n">
        <x:v>424</x:v>
      </x:c>
      <x:c r="J12" s="68" t="n">
        <x:v>1155</x:v>
      </x:c>
      <x:c r="K12" s="68" t="n">
        <x:v>47</x:v>
      </x:c>
      <x:c r="L12" s="68" t="n">
        <x:v>24</x:v>
      </x:c>
      <x:c r="M12" s="68" t="str">
        <x:v>None</x:v>
      </x:c>
      <x:c r="N12" s="68" t="n">
        <x:v>0</x:v>
      </x:c>
      <x:c r="O12" s="68" t="str">
        <x:v>seollal_2026_up_base__sp364-op-base215__day-2026-02-13__UE__p100__s0007</x:v>
      </x:c>
    </x:row>
    <x:row r="13" ht="22" customHeight="1">
      <x:c r="A13" s="68" t="str">
        <x:v>UP</x:v>
      </x:c>
      <x:c r="B13" s="68" t="str">
        <x:v>2026-02-14</x:v>
      </x:c>
      <x:c r="C13" s="68" t="str">
        <x:v>DAILY</x:v>
      </x:c>
      <x:c r="D13" s="68" t="str">
        <x:v>EXPLICIT_DAY_INPUT</x:v>
      </x:c>
      <x:c r="E13" s="68" t="n">
        <x:v>14466</x:v>
      </x:c>
      <x:c r="F13" s="68" t="n">
        <x:v>1306</x:v>
      </x:c>
      <x:c r="G13" s="68" t="n">
        <x:v>0</x:v>
      </x:c>
      <x:c r="H13" s="68" t="n">
        <x:v>1351</x:v>
      </x:c>
      <x:c r="I13" s="68" t="n">
        <x:v>364</x:v>
      </x:c>
      <x:c r="J13" s="68" t="n">
        <x:v>987</x:v>
      </x:c>
      <x:c r="K13" s="68" t="n">
        <x:v>20</x:v>
      </x:c>
      <x:c r="L13" s="68" t="n">
        <x:v>6</x:v>
      </x:c>
      <x:c r="M13" s="68" t="str">
        <x:v>None</x:v>
      </x:c>
      <x:c r="N13" s="68" t="n">
        <x:v>0</x:v>
      </x:c>
      <x:c r="O13" s="68" t="str">
        <x:v>seollal_2026_up_base__sp364-op-base215__day-2026-02-14__UE__p100__s0007</x:v>
      </x:c>
    </x:row>
    <x:row r="14" ht="22" customHeight="1">
      <x:c r="A14" s="68" t="str">
        <x:v>UP</x:v>
      </x:c>
      <x:c r="B14" s="68" t="str">
        <x:v>2026-02-15</x:v>
      </x:c>
      <x:c r="C14" s="68" t="str">
        <x:v>DAILY</x:v>
      </x:c>
      <x:c r="D14" s="68" t="str">
        <x:v>EXPLICIT_DAY_INPUT</x:v>
      </x:c>
      <x:c r="E14" s="68" t="n">
        <x:v>14723</x:v>
      </x:c>
      <x:c r="F14" s="68" t="n">
        <x:v>1515</x:v>
      </x:c>
      <x:c r="G14" s="68" t="n">
        <x:v>0</x:v>
      </x:c>
      <x:c r="H14" s="68" t="n">
        <x:v>1569</x:v>
      </x:c>
      <x:c r="I14" s="68" t="n">
        <x:v>408</x:v>
      </x:c>
      <x:c r="J14" s="68" t="n">
        <x:v>1161</x:v>
      </x:c>
      <x:c r="K14" s="68" t="n">
        <x:v>22</x:v>
      </x:c>
      <x:c r="L14" s="68" t="n">
        <x:v>9</x:v>
      </x:c>
      <x:c r="M14" s="68" t="str">
        <x:v>None</x:v>
      </x:c>
      <x:c r="N14" s="68" t="n">
        <x:v>0</x:v>
      </x:c>
      <x:c r="O14" s="68" t="str">
        <x:v>seollal_2026_up_base__sp364-op-base215__day-2026-02-15__UE__p100__s0007</x:v>
      </x:c>
    </x:row>
    <x:row r="15" ht="22" customHeight="1">
      <x:c r="A15" s="68" t="str">
        <x:v>UP</x:v>
      </x:c>
      <x:c r="B15" s="68" t="str">
        <x:v>2026-02-16</x:v>
      </x:c>
      <x:c r="C15" s="68" t="str">
        <x:v>DAILY</x:v>
      </x:c>
      <x:c r="D15" s="68" t="str">
        <x:v>EXPLICIT_DAY_INPUT</x:v>
      </x:c>
      <x:c r="E15" s="68" t="n">
        <x:v>16005</x:v>
      </x:c>
      <x:c r="F15" s="68" t="n">
        <x:v>1738</x:v>
      </x:c>
      <x:c r="G15" s="68" t="n">
        <x:v>1</x:v>
      </x:c>
      <x:c r="H15" s="68" t="n">
        <x:v>1797</x:v>
      </x:c>
      <x:c r="I15" s="68" t="n">
        <x:v>487</x:v>
      </x:c>
      <x:c r="J15" s="68" t="n">
        <x:v>1310</x:v>
      </x:c>
      <x:c r="K15" s="68" t="n">
        <x:v>23</x:v>
      </x:c>
      <x:c r="L15" s="68" t="n">
        <x:v>10</x:v>
      </x:c>
      <x:c r="M15" s="68" t="str">
        <x:v>None</x:v>
      </x:c>
      <x:c r="N15" s="68" t="n">
        <x:v>0</x:v>
      </x:c>
      <x:c r="O15" s="68" t="str">
        <x:v>seollal_2026_up_base__sp364-op-base215__day-2026-02-16__UE__p100__s0007</x:v>
      </x:c>
    </x:row>
    <x:row r="16" ht="22" customHeight="1">
      <x:c r="A16" s="68" t="str">
        <x:v>UP</x:v>
      </x:c>
      <x:c r="B16" s="68" t="str">
        <x:v>2026-02-17</x:v>
      </x:c>
      <x:c r="C16" s="68" t="str">
        <x:v>PEAK_REUSED</x:v>
      </x:c>
      <x:c r="D16" s="68" t="str">
        <x:v>PROFILE_DATE_INFERRED_IN_PRIOR_VALIDATION</x:v>
      </x:c>
      <x:c r="E16" s="68" t="n">
        <x:v>19301</x:v>
      </x:c>
      <x:c r="F16" s="68" t="n">
        <x:v>2275</x:v>
      </x:c>
      <x:c r="G16" s="68" t="n">
        <x:v>2</x:v>
      </x:c>
      <x:c r="H16" s="68" t="n">
        <x:v>2375</x:v>
      </x:c>
      <x:c r="I16" s="68" t="n">
        <x:v>639</x:v>
      </x:c>
      <x:c r="J16" s="68" t="n">
        <x:v>1736</x:v>
      </x:c>
      <x:c r="K16" s="68" t="n">
        <x:v>68</x:v>
      </x:c>
      <x:c r="L16" s="68" t="n">
        <x:v>25</x:v>
      </x:c>
      <x:c r="M16" s="68" t="str">
        <x:v>None</x:v>
      </x:c>
      <x:c r="N16" s="68" t="n">
        <x:v>0</x:v>
      </x:c>
      <x:c r="O16" s="68" t="str">
        <x:v>seollal_2026_up_base__sp364-op-base215__UE__p100__s0007</x:v>
      </x:c>
    </x:row>
    <x:row r="17" ht="22" customHeight="1">
      <x:c r="A17" s="68" t="str">
        <x:v>UP</x:v>
      </x:c>
      <x:c r="B17" s="68" t="str">
        <x:v>2026-02-18</x:v>
      </x:c>
      <x:c r="C17" s="68" t="str">
        <x:v>DAILY</x:v>
      </x:c>
      <x:c r="D17" s="68" t="str">
        <x:v>EXPLICIT_DAY_INPUT</x:v>
      </x:c>
      <x:c r="E17" s="68" t="n">
        <x:v>19402</x:v>
      </x:c>
      <x:c r="F17" s="68" t="n">
        <x:v>2149</x:v>
      </x:c>
      <x:c r="G17" s="68" t="n">
        <x:v>0</x:v>
      </x:c>
      <x:c r="H17" s="68" t="n">
        <x:v>2222</x:v>
      </x:c>
      <x:c r="I17" s="68" t="n">
        <x:v>617</x:v>
      </x:c>
      <x:c r="J17" s="68" t="n">
        <x:v>1605</x:v>
      </x:c>
      <x:c r="K17" s="68" t="n">
        <x:v>65</x:v>
      </x:c>
      <x:c r="L17" s="68" t="n">
        <x:v>20</x:v>
      </x:c>
      <x:c r="M17" s="68" t="str">
        <x:v>None</x:v>
      </x:c>
      <x:c r="N17" s="68" t="n">
        <x:v>0</x:v>
      </x:c>
      <x:c r="O17" s="68" t="str">
        <x:v>seollal_2026_up_base__sp364-op-base215__day-2026-02-18__UE__p100__s0007</x:v>
      </x:c>
    </x:row>
    <x:row r="18" ht="22" customHeight="1">
      <x:c r="A18" s="68" t="str">
        <x:v>UP</x:v>
      </x:c>
      <x:c r="B18" s="68" t="str">
        <x:v>2026-02-19</x:v>
      </x:c>
      <x:c r="C18" s="68" t="str">
        <x:v>DAILY</x:v>
      </x:c>
      <x:c r="D18" s="68" t="str">
        <x:v>EXPLICIT_DAY_INPUT</x:v>
      </x:c>
      <x:c r="E18" s="68" t="n">
        <x:v>16035</x:v>
      </x:c>
      <x:c r="F18" s="68" t="n">
        <x:v>1619</x:v>
      </x:c>
      <x:c r="G18" s="68" t="n">
        <x:v>0</x:v>
      </x:c>
      <x:c r="H18" s="68" t="n">
        <x:v>1668</x:v>
      </x:c>
      <x:c r="I18" s="68" t="n">
        <x:v>498</x:v>
      </x:c>
      <x:c r="J18" s="68" t="n">
        <x:v>1170</x:v>
      </x:c>
      <x:c r="K18" s="68" t="n">
        <x:v>27</x:v>
      </x:c>
      <x:c r="L18" s="68" t="n">
        <x:v>8</x:v>
      </x:c>
      <x:c r="M18" s="68" t="str">
        <x:v>None</x:v>
      </x:c>
      <x:c r="N18" s="68" t="n">
        <x:v>0</x:v>
      </x:c>
      <x:c r="O18" s="68" t="str">
        <x:v>seollal_2026_up_base__sp364-op-base215__day-2026-02-19__UE__p100__s0007</x:v>
      </x:c>
    </x:row>
    <x:row r="19" ht="22" customHeight="1">
      <x:c r="A19" s="68" t="str">
        <x:v>UP</x:v>
      </x:c>
      <x:c r="B19" s="68" t="str">
        <x:v>2026-02-20</x:v>
      </x:c>
      <x:c r="C19" s="68" t="str">
        <x:v>DAILY</x:v>
      </x:c>
      <x:c r="D19" s="68" t="str">
        <x:v>EXPLICIT_DAY_INPUT</x:v>
      </x:c>
      <x:c r="E19" s="68" t="n">
        <x:v>16378</x:v>
      </x:c>
      <x:c r="F19" s="68" t="n">
        <x:v>1482</x:v>
      </x:c>
      <x:c r="G19" s="68" t="n">
        <x:v>0</x:v>
      </x:c>
      <x:c r="H19" s="68" t="n">
        <x:v>1550</x:v>
      </x:c>
      <x:c r="I19" s="68" t="n">
        <x:v>464</x:v>
      </x:c>
      <x:c r="J19" s="68" t="n">
        <x:v>1086</x:v>
      </x:c>
      <x:c r="K19" s="68" t="n">
        <x:v>35</x:v>
      </x:c>
      <x:c r="L19" s="68" t="n">
        <x:v>11</x:v>
      </x:c>
      <x:c r="M19" s="68" t="str">
        <x:v>None</x:v>
      </x:c>
      <x:c r="N19" s="68" t="n">
        <x:v>0</x:v>
      </x:c>
      <x:c r="O19" s="68" t="str">
        <x:v>seollal_2026_up_base__sp364-op-base215__day-2026-02-20__UE__p100__s0007</x:v>
      </x:c>
    </x:row>
    <x:row r="20" ht="22" customHeight="1">
      <x:c r="A20" s="68" t="str">
        <x:v>UP</x:v>
      </x:c>
      <x:c r="B20" s="68" t="str">
        <x:v>2026-02-21</x:v>
      </x:c>
      <x:c r="C20" s="68" t="str">
        <x:v>DAILY</x:v>
      </x:c>
      <x:c r="D20" s="68" t="str">
        <x:v>EXPLICIT_DAY_INPUT</x:v>
      </x:c>
      <x:c r="E20" s="68" t="n">
        <x:v>14788</x:v>
      </x:c>
      <x:c r="F20" s="68" t="n">
        <x:v>1380</x:v>
      </x:c>
      <x:c r="G20" s="68" t="n">
        <x:v>2</x:v>
      </x:c>
      <x:c r="H20" s="68" t="n">
        <x:v>1422</x:v>
      </x:c>
      <x:c r="I20" s="68" t="n">
        <x:v>396</x:v>
      </x:c>
      <x:c r="J20" s="68" t="n">
        <x:v>1026</x:v>
      </x:c>
      <x:c r="K20" s="68" t="n">
        <x:v>29</x:v>
      </x:c>
      <x:c r="L20" s="68" t="n">
        <x:v>9</x:v>
      </x:c>
      <x:c r="M20" s="68" t="str">
        <x:v>None</x:v>
      </x:c>
      <x:c r="N20" s="68" t="n">
        <x:v>0</x:v>
      </x:c>
      <x:c r="O20" s="68" t="str">
        <x:v>seollal_2026_up_base__sp364-op-base215__day-2026-02-21__UE__p100__s0007</x:v>
      </x:c>
    </x:row>
    <x:row r="21" ht="22" customHeight="1">
      <x:c r="A21" s="68" t="str">
        <x:v>UP</x:v>
      </x:c>
      <x:c r="B21" s="68" t="str">
        <x:v>2026-02-22</x:v>
      </x:c>
      <x:c r="C21" s="68" t="str">
        <x:v>DAILY</x:v>
      </x:c>
      <x:c r="D21" s="68" t="str">
        <x:v>EXPLICIT_DAY_INPUT</x:v>
      </x:c>
      <x:c r="E21" s="68" t="n">
        <x:v>13598</x:v>
      </x:c>
      <x:c r="F21" s="68" t="n">
        <x:v>1332</x:v>
      </x:c>
      <x:c r="G21" s="68" t="n">
        <x:v>0</x:v>
      </x:c>
      <x:c r="H21" s="68" t="n">
        <x:v>1373</x:v>
      </x:c>
      <x:c r="I21" s="68" t="n">
        <x:v>358</x:v>
      </x:c>
      <x:c r="J21" s="68" t="n">
        <x:v>1015</x:v>
      </x:c>
      <x:c r="K21" s="68" t="n">
        <x:v>50</x:v>
      </x:c>
      <x:c r="L21" s="68" t="n">
        <x:v>19</x:v>
      </x:c>
      <x:c r="M21" s="68" t="str">
        <x:v>None</x:v>
      </x:c>
      <x:c r="N21" s="68" t="n">
        <x:v>0</x:v>
      </x:c>
      <x:c r="O21" s="68" t="str">
        <x:v>seollal_2026_up_base__sp364-op-base215__day-2026-02-22__UE__p100__s0007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72" hidden="0" customWidth="1"/>
    <x:col min="3" max="3" width="100" hidden="0" customWidth="1"/>
  </x:cols>
  <x:sheetData>
    <x:row r="1" ht="31" customHeight="1">
      <x:c r="A1" s="63" t="str">
        <x:v>구분</x:v>
      </x:c>
      <x:c r="B1" s="63" t="str">
        <x:v>정의·관측값</x:v>
      </x:c>
      <x:c r="C1" s="63" t="str">
        <x:v>검증 주의사항</x:v>
      </x:c>
    </x:row>
    <x:row r="2" ht="35" customHeight="1">
      <x:c r="A2" s="84" t="str">
        <x:v>실측 모집단</x:v>
      </x:c>
      <x:c r="B2" s="84" t="str">
        <x:v>환경부 제공 10일 이력·휴게소 29곳 관측</x:v>
      </x:c>
      <x:c r="C2" s="84" t="str">
        <x:v>추적된 개별 운영사의 busiId=ME 전용 기록이라고 입증되지 않음</x:v>
      </x:c>
    </x:row>
    <x:row r="3" ht="35" customHeight="1">
      <x:c r="A3" s="84" t="str">
        <x:v>모델 분류</x:v>
      </x:c>
      <x:c r="B3" s="84" t="str">
        <x:v>2026-09 API 기반 가상 서비스 슬롯 `ME95+NONME120`</x:v>
      </x:c>
      <x:c r="C3" s="84" t="str">
        <x:v>2026-02 실제 운영 사업자·가동 기수와 일대일 매핑되지 않음</x:v>
      </x:c>
    </x:row>
    <x:row r="4" ht="35" customHeight="1">
      <x:c r="A4" s="84" t="str">
        <x:v>공간 비교 단위</x:v>
      </x:c>
      <x:c r="B4" s="84" t="str">
        <x:v>휴게소 × 날짜 × 방향</x:v>
      </x:c>
      <x:c r="C4" s="84" t="str">
        <x:v>휴게소명을 방향별로 분리하고 금강휴게소 포함</x:v>
      </x:c>
    </x:row>
    <x:row r="5" ht="35" customHeight="1">
      <x:c r="A5" s="84" t="str">
        <x:v>시간 비교 단위</x:v>
      </x:c>
      <x:c r="B5" s="84" t="str">
        <x:v>휴게소 × 날짜 × 시각(0~23)</x:v>
      </x:c>
      <x:c r="C5" s="84" t="str">
        <x:v>전날의 큐/충전 상태를 새 하루에 자동 이월하지 않음</x:v>
      </x:c>
    </x:row>
    <x:row r="6" ht="35" customHeight="1">
      <x:c r="A6" s="84" t="str">
        <x:v>WAPE (%)</x:v>
      </x:c>
      <x:c r="B6" s="84" t="str">
        <x:v>100×Σ|ME−실측|/Σ실측</x:v>
      </x:c>
      <x:c r="C6" s="84" t="str">
        <x:v>실측 0건인 관측 셀도 분자 포함 / 미관측 NA 제외</x:v>
      </x:c>
    </x:row>
    <x:row r="7" ht="35" customHeight="1">
      <x:c r="A7" s="84" t="str">
        <x:v>MAPE (%)</x:v>
      </x:c>
      <x:c r="B7" s="84" t="str">
        <x:v>100×mean(|ME−실측|/실측), 실측&gt;0만</x:v>
      </x:c>
      <x:c r="C7" s="84" t="str">
        <x:v>MAPE를 산출한 양수 셀 n을 반드시 병기</x:v>
      </x:c>
    </x:row>
    <x:row r="8" ht="35" customHeight="1">
      <x:c r="A8" s="84" t="str">
        <x:v>Bias (%)</x:v>
      </x:c>
      <x:c r="B8" s="84" t="str">
        <x:v>100×(ΣME−Σ실측)/Σ실측</x:v>
      </x:c>
      <x:c r="C8" s="84" t="str">
        <x:v>장소·시간대 오차가 상쇄되므로 WAPE 대신 쓰지 않음</x:v>
      </x:c>
    </x:row>
    <x:row r="9" ht="35" customHeight="1">
      <x:c r="A9" s="84" t="str">
        <x:v>MAE</x:v>
      </x:c>
      <x:c r="B9" s="84" t="str">
        <x:v>mean(|ME−실측|)</x:v>
      </x:c>
      <x:c r="C9" s="84" t="str">
        <x:v>휴게소×일과 휴게소×시간 단위가 다름</x:v>
      </x:c>
    </x:row>
    <x:row r="10" ht="35" customHeight="1">
      <x:c r="A10" s="84" t="str">
        <x:v>RMSE</x:v>
      </x:c>
      <x:c r="B10" s="84" t="str">
        <x:v>sqrt(mean((ME−실측)^2))</x:v>
      </x:c>
      <x:c r="C10" s="84" t="str">
        <x:v>큰 오차가 있는 특정 휴게소에 민감</x:v>
      </x:c>
    </x:row>
    <x:row r="11" ht="35" customHeight="1">
      <x:c r="A11" s="84" t="str">
        <x:v>점유시간</x:v>
      </x:c>
      <x:c r="B11" s="84" t="str">
        <x:v>분 단위 충전 세션 구간과 해당 시각 [h,h+60)의 교집합 길이 합</x:v>
      </x:c>
      <x:c r="C11" s="84" t="str">
        <x:v>종료가 24시를 넘으면 당일에서는 절단; 실제 대기 시작/입차 시각 불명</x:v>
      </x:c>
    </x:row>
    <x:row r="12" ht="35" customHeight="1">
      <x:c r="A12" s="84" t="str">
        <x:v>비관측 6개 휴게소</x:v>
      </x:c>
      <x:c r="B12" s="84" t="str">
        <x:v>DOWN 경주·망향·죽암·황간 / UP 옥천·칠곡</x:v>
      </x:c>
      <x:c r="C12" s="84" t="str">
        <x:v>실제 0건으로 대체 금지</x:v>
      </x:c>
    </x:row>
    <x:row r="13" ht="35" customHeight="1">
      <x:c r="A13" s="84" t="str">
        <x:v>관측된 0건</x:v>
      </x:c>
      <x:c r="B13" s="84" t="str">
        <x:v>일 6개 셀 / 시각 2,852개 셀</x:v>
      </x:c>
      <x:c r="C13" s="84" t="str">
        <x:v>WAPE 오차 포함, MAPE 정의역에서 제외</x:v>
      </x:c>
    </x:row>
    <x:row r="14" ht="35" customHeight="1">
      <x:c r="A14" s="84" t="str">
        <x:v>모델 날짜</x:v>
      </x:c>
      <x:c r="B14" s="84" t="str">
        <x:v>피크 2개 수요 파일 일자 매칭 / 나머지 18개 명시적 프로파일</x:v>
      </x:c>
      <x:c r="C14" s="84" t="str">
        <x:v>실제 당일 충전 이벤트를 재현했다는 확증과 다름</x:v>
      </x:c>
    </x:row>
    <x:row r="15" ht="35" customHeight="1">
      <x:c r="A15" s="84" t="str">
        <x:v>#99 실측 OD</x:v>
      </x:c>
      <x:c r="B15" s="84" t="str">
        <x:v>이전 실험 사용했으나 이번 `od_profile:null`</x:v>
      </x:c>
      <x:c r="C15" s="84" t="str">
        <x:v>TCS OD 외부 통행 누락 문제 (#100), 모델 개선이라고 일반화 불가</x:v>
      </x:c>
    </x:row>
    <x:row r="16" ht="35" customHeight="1">
      <x:c r="A16" s="84" t="str">
        <x:v>#112 습관 SoC</x:v>
      </x:c>
      <x:c r="B16" s="84" t="str">
        <x:v>이전 이용률 진단에서 종료 SoC 개선 시도</x:v>
      </x:c>
      <x:c r="C16" s="84" t="str">
        <x:v>이번 `habit_soc=0`, 목표 SoC 변경과 오차 관계는 별도 실험</x:v>
      </x:c>
    </x:row>
    <x:row r="17" ht="35" customHeight="1">
      <x:c r="A17" s="84" t="str">
        <x:v>시드/수렴</x:v>
      </x:c>
      <x:c r="B17" s="84" t="str">
        <x:v>seed 7, UE gap 최종값의 일부 첫 sweep 경고 존재</x:v>
      </x:c>
      <x:c r="C17" s="84" t="str">
        <x:v>시드 민감도, 안정 균형 판단, 실제 대기시간 실측은 별도</x:v>
      </x:c>
    </x:row>
    <x:row r="18" ht="35" customHeight="1">
      <x:c r="A18" s="84" t="str">
        <x:v>결론 판정</x:v>
      </x:c>
      <x:c r="B18" s="84" t="str">
        <x:v>오차 계산 및 구분 검산 통과</x:v>
      </x:c>
      <x:c r="C18" s="84" t="str">
        <x:v>**실측 재현 성공·실패 판정은 보류**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32" hidden="0" customWidth="1"/>
    <x:col min="4" max="4" width="17" hidden="0" customWidth="1"/>
    <x:col min="5" max="5" width="19" hidden="0" customWidth="1"/>
    <x:col min="6" max="6" width="54" hidden="0" customWidth="1"/>
    <x:col min="7" max="7" width="71" hidden="0" customWidth="1"/>
  </x:cols>
  <x:sheetData>
    <x:row r="1" ht="31" customHeight="1">
      <x:c r="A1" s="63" t="str">
        <x:v>관련 이슈</x:v>
      </x:c>
      <x:c r="B1" s="63" t="str">
        <x:v>실험 구분</x:v>
      </x:c>
      <x:c r="C1" s="63" t="str">
        <x:v>목표변수</x:v>
      </x:c>
      <x:c r="D1" s="63" t="str">
        <x:v>이전 수치</x:v>
      </x:c>
      <x:c r="E1" s="63" t="str">
        <x:v>수정/이번 수치</x:v>
      </x:c>
      <x:c r="F1" s="63" t="str">
        <x:v>이번 BASE215 반영 상태</x:v>
      </x:c>
      <x:c r="G1" s="63" t="str">
        <x:v>직접 비교 주의</x:v>
      </x:c>
    </x:row>
    <x:row r="2" ht="31" customHeight="1">
      <x:c r="A2" s="84" t="str">
        <x:v>#55</x:v>
      </x:c>
      <x:c r="B2" s="84" t="str">
        <x:v>진입 SoC 버그</x:v>
      </x:c>
      <x:c r="C2" s="84" t="str">
        <x:v>충전 필요 EV 대수</x:v>
      </x:c>
      <x:c r="D2" s="84" t="str">
        <x:v>10,035</x:v>
      </x:c>
      <x:c r="E2" s="84" t="str">
        <x:v>1,842</x:v>
      </x:c>
      <x:c r="F2" s="84" t="str">
        <x:v>이전 수정 적용: 이번 `holiday` 출발 SoC</x:v>
      </x:c>
      <x:c r="G2" s="84" t="str">
        <x:v>실험일/모델 세부 조건의 동일성 확인 필요</x:v>
      </x:c>
    </x:row>
    <x:row r="3" ht="31" customHeight="1">
      <x:c r="A3" s="84" t="str">
        <x:v>#99</x:v>
      </x:c>
      <x:c r="B3" s="84" t="str">
        <x:v>실측 목적지 OD</x:v>
      </x:c>
      <x:c r="C3" s="84" t="str">
        <x:v>DOWN 통행거리 MAPE %</x:v>
      </x:c>
      <x:c r="D3" s="84" t="n">
        <x:v>53</x:v>
      </x:c>
      <x:c r="E3" s="84" t="n">
        <x:v>8.1</x:v>
      </x:c>
      <x:c r="F3" s="84" t="str">
        <x:v>이번 OD 미적용</x:v>
      </x:c>
      <x:c r="G3" s="84" t="str">
        <x:v>TCS 코리도 외부 통행 누락(#100)</x:v>
      </x:c>
    </x:row>
    <x:row r="4" ht="31" customHeight="1">
      <x:c r="A4" s="84" t="str">
        <x:v>#99</x:v>
      </x:c>
      <x:c r="B4" s="84" t="str">
        <x:v>실측 목적지 OD</x:v>
      </x:c>
      <x:c r="C4" s="84" t="str">
        <x:v>UP 통행거리 MAPE %</x:v>
      </x:c>
      <x:c r="D4" s="84" t="n">
        <x:v>79.1</x:v>
      </x:c>
      <x:c r="E4" s="84" t="n">
        <x:v>23.8</x:v>
      </x:c>
      <x:c r="F4" s="84" t="str">
        <x:v>이번 OD 미적용</x:v>
      </x:c>
      <x:c r="G4" s="84" t="str">
        <x:v>시작건수 MAPE와 다른 목표변수</x:v>
      </x:c>
    </x:row>
    <x:row r="5" ht="31" customHeight="1">
      <x:c r="A5" s="84" t="str">
        <x:v>#99</x:v>
      </x:c>
      <x:c r="B5" s="84" t="str">
        <x:v>실측 목적지 OD</x:v>
      </x:c>
      <x:c r="C5" s="84" t="str">
        <x:v>DOWN 충전 필요 EV</x:v>
      </x:c>
      <x:c r="D5" s="84" t="n">
        <x:v>1854</x:v>
      </x:c>
      <x:c r="E5" s="84" t="n">
        <x:v>870</x:v>
      </x:c>
      <x:c r="F5" s="84" t="str">
        <x:v>이번 OD 미적용</x:v>
      </x:c>
      <x:c r="G5" s="84" t="str">
        <x:v>TCS OD 외부통행 미포함 한계</x:v>
      </x:c>
    </x:row>
    <x:row r="6" ht="31" customHeight="1">
      <x:c r="A6" s="84" t="str">
        <x:v>#112</x:v>
      </x:c>
      <x:c r="B6" s="84" t="str">
        <x:v>충전 종료 SoC/이용률</x:v>
      </x:c>
      <x:c r="C6" s="84" t="str">
        <x:v>7+충전기 이용률 %</x:v>
      </x:c>
      <x:c r="D6" s="84" t="n">
        <x:v>12.4</x:v>
      </x:c>
      <x:c r="E6" s="84" t="n">
        <x:v>31.6</x:v>
      </x:c>
      <x:c r="F6" s="84" t="str">
        <x:v>이번 habit_soc: 0</x:v>
      </x:c>
      <x:c r="G6" s="84" t="str">
        <x:v>워터 49곳 33.5%와 노선·표본 다름</x:v>
      </x:c>
    </x:row>
    <x:row r="7" ht="31" customHeight="1">
      <x:c r="A7" s="84" t="str">
        <x:v>#64 이전</x:v>
      </x:c>
      <x:c r="B7" s="84" t="str">
        <x:v>DOWN 2/13 ME WAPE</x:v>
      </x:c>
      <x:c r="C7" s="84" t="str">
        <x:v>휴게소×일 WAPE %</x:v>
      </x:c>
      <x:c r="D7" s="84" t="n">
        <x:v>87.67</x:v>
      </x:c>
      <x:c r="E7" s="84" t="n">
        <x:v>88.04</x:v>
      </x:c>
      <x:c r="F7" s="84" t="str">
        <x:v>이번 금강 포함, 표본 다름</x:v>
      </x:c>
      <x:c r="G7" s="84" t="str">
        <x:v>지난값 87.67을 같은 표본 개선으로 해석 금지</x:v>
      </x:c>
    </x:row>
    <x:row r="8" ht="31" customHeight="1">
      <x:c r="A8" s="84" t="str">
        <x:v>#64 이전</x:v>
      </x:c>
      <x:c r="B8" s="84" t="str">
        <x:v>UP 2/17 ME WAPE</x:v>
      </x:c>
      <x:c r="C8" s="84" t="str">
        <x:v>휴게소×일 WAPE %</x:v>
      </x:c>
      <x:c r="D8" s="84" t="n">
        <x:v>54.19</x:v>
      </x:c>
      <x:c r="E8" s="84" t="n">
        <x:v>54.19</x:v>
      </x:c>
      <x:c r="F8" s="84" t="str">
        <x:v>이번 수치 일치</x:v>
      </x:c>
      <x:c r="G8" s="84" t="str">
        <x:v>동일 일자의 회귀 기준</x:v>
      </x:c>
    </x:row>
    <x:row r="9" ht="31" customHeight="1">
      <x:c r="A9" s="84" t="str">
        <x:v>#64 이전</x:v>
      </x:c>
      <x:c r="B9" s="84" t="str">
        <x:v>ALL 운영사 WAPE</x:v>
      </x:c>
      <x:c r="C9" s="84" t="str">
        <x:v>DOWN 2/13 시간 WAPE %</x:v>
      </x:c>
      <x:c r="D9" s="84" t="n">
        <x:v>235.33</x:v>
      </x:c>
      <x:c r="E9" s="84"/>
      <x:c r="F9" s="84" t="str">
        <x:v>모델 ALL vs 환경부 이력</x:v>
      </x:c>
      <x:c r="G9" s="84" t="str">
        <x:v>이번 ME 시간 WAPE 107.61%, 범위 다름</x:v>
      </x:c>
    </x:row>
    <x:row r="10" ht="31" customHeight="1">
      <x:c r="A10" s="84" t="str">
        <x:v>#64 이전</x:v>
      </x:c>
      <x:c r="B10" s="84" t="str">
        <x:v>ALL 운영사 WAPE</x:v>
      </x:c>
      <x:c r="C10" s="84" t="str">
        <x:v>UP 2/17 시간 WAPE %</x:v>
      </x:c>
      <x:c r="D10" s="84" t="n">
        <x:v>168.28</x:v>
      </x:c>
      <x:c r="E10" s="84"/>
      <x:c r="F10" s="84" t="str">
        <x:v>모델 ALL vs 환경부 이력</x:v>
      </x:c>
      <x:c r="G10" s="84" t="str">
        <x:v>이번 ME 시간 WAPE 72.26%, 범위 다름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32" hidden="0" customWidth="1"/>
    <x:col min="3" max="3" width="69" hidden="0" customWidth="1"/>
    <x:col min="4" max="4" width="26" hidden="0" customWidth="1"/>
  </x:cols>
  <x:sheetData>
    <x:row r="1" ht="31" customHeight="1">
      <x:c r="A1" s="63" t="str">
        <x:v>검사 항목</x:v>
      </x:c>
      <x:c r="B1" s="63" t="str">
        <x:v>현재 값</x:v>
      </x:c>
      <x:c r="C1" s="63" t="str">
        <x:v>검사 기준·산식</x:v>
      </x:c>
      <x:c r="D1" s="63" t="str">
        <x:v>판정 상태</x:v>
      </x:c>
    </x:row>
    <x:row r="2" ht="26" customHeight="1">
      <x:c r="A2" s="68" t="str">
        <x:v>20개 UE</x:v>
      </x:c>
      <x:c r="B2" s="68" t="n">
        <x:v>20</x:v>
      </x:c>
      <x:c r="C2" s="68" t="str">
        <x:v>20개 검증</x:v>
      </x:c>
      <x:c r="D2" s="68" t="str">
        <x:v>정합</x:v>
      </x:c>
    </x:row>
    <x:row r="3" ht="26" customHeight="1">
      <x:c r="A3" s="68" t="str">
        <x:v>DOWN 개별날짜</x:v>
      </x:c>
      <x:c r="B3" s="68" t="n">
        <x:v>10</x:v>
      </x:c>
      <x:c r="C3" s="68" t="str">
        <x:v>DOWN 2/13~22</x:v>
      </x:c>
      <x:c r="D3" s="68" t="str">
        <x:v>정합</x:v>
      </x:c>
    </x:row>
    <x:row r="4" ht="26" customHeight="1">
      <x:c r="A4" s="68" t="str">
        <x:v>UP 개별날짜</x:v>
      </x:c>
      <x:c r="B4" s="68" t="n">
        <x:v>10</x:v>
      </x:c>
      <x:c r="C4" s="68" t="str">
        <x:v>UP 2/13~22</x:v>
      </x:c>
      <x:c r="D4" s="68" t="str">
        <x:v>정합</x:v>
      </x:c>
    </x:row>
    <x:row r="5" ht="26" customHeight="1">
      <x:c r="A5" s="68" t="str">
        <x:v>실측 관측 휴게소</x:v>
      </x:c>
      <x:c r="B5" s="68" t="n">
        <x:v>29</x:v>
      </x:c>
      <x:c r="C5" s="68" t="str">
        <x:v>방향별 DOWN15·UP14</x:v>
      </x:c>
      <x:c r="D5" s="68" t="str">
        <x:v>정합</x:v>
      </x:c>
    </x:row>
    <x:row r="6" ht="26" customHeight="1">
      <x:c r="A6" s="68" t="str">
        <x:v>미관측 휴게소</x:v>
      </x:c>
      <x:c r="B6" s="68" t="n">
        <x:v>6</x:v>
      </x:c>
      <x:c r="C6" s="68" t="str">
        <x:v>NA로 보존</x:v>
      </x:c>
      <x:c r="D6" s="68" t="str">
        <x:v>정합</x:v>
      </x:c>
    </x:row>
    <x:row r="7" ht="26" customHeight="1">
      <x:c r="A7" s="68" t="str">
        <x:v>시간 셀 전체</x:v>
      </x:c>
      <x:c r="B7" s="68" t="n">
        <x:v>8400</x:v>
      </x:c>
      <x:c r="C7" s="68" t="str">
        <x:v>35×10×24</x:v>
      </x:c>
      <x:c r="D7" s="68" t="str">
        <x:v>정합</x:v>
      </x:c>
    </x:row>
    <x:row r="8" ht="26" customHeight="1">
      <x:c r="A8" s="68" t="str">
        <x:v>관측 시간 셀</x:v>
      </x:c>
      <x:c r="B8" s="68" t="n">
        <x:v>6960</x:v>
      </x:c>
      <x:c r="C8" s="68" t="str">
        <x:v>29×10×24</x:v>
      </x:c>
      <x:c r="D8" s="68" t="str">
        <x:v>정합</x:v>
      </x:c>
    </x:row>
    <x:row r="9" ht="26" customHeight="1">
      <x:c r="A9" s="68" t="str">
        <x:v>관측 일 셀</x:v>
      </x:c>
      <x:c r="B9" s="68" t="n">
        <x:v>290</x:v>
      </x:c>
      <x:c r="C9" s="68" t="str">
        <x:v>29×10</x:v>
      </x:c>
      <x:c r="D9" s="68" t="str">
        <x:v>정합</x:v>
      </x:c>
    </x:row>
    <x:row r="10" ht="26" customHeight="1">
      <x:c r="A10" s="68" t="str">
        <x:v>실측 시작 DOWN</x:v>
      </x:c>
      <x:c r="B10" s="68" t="n">
        <x:v>4828</x:v>
      </x:c>
      <x:c r="C10" s="68" t="str">
        <x:v>CSV 방향 누계</x:v>
      </x:c>
      <x:c r="D10" s="68" t="str">
        <x:v>정합</x:v>
      </x:c>
    </x:row>
    <x:row r="11" ht="26" customHeight="1">
      <x:c r="A11" s="68" t="str">
        <x:v>실측 시작 UP</x:v>
      </x:c>
      <x:c r="B11" s="68" t="n">
        <x:v>6577</x:v>
      </x:c>
      <x:c r="C11" s="68" t="str">
        <x:v>CSV 방향 누계</x:v>
      </x:c>
      <x:c r="D11" s="68" t="str">
        <x:v>정합</x:v>
      </x:c>
    </x:row>
    <x:row r="12" ht="26" customHeight="1">
      <x:c r="A12" s="68" t="str">
        <x:v>모델 ME 시작 DOWN</x:v>
      </x:c>
      <x:c r="B12" s="68" t="n">
        <x:v>3899</x:v>
      </x:c>
      <x:c r="C12" s="68" t="str">
        <x:v>관측소 당일 시작</x:v>
      </x:c>
      <x:c r="D12" s="68" t="str">
        <x:v>정합</x:v>
      </x:c>
    </x:row>
    <x:row r="13" ht="26" customHeight="1">
      <x:c r="A13" s="68" t="str">
        <x:v>모델 ME 시작 UP</x:v>
      </x:c>
      <x:c r="B13" s="68" t="n">
        <x:v>4514</x:v>
      </x:c>
      <x:c r="C13" s="68" t="str">
        <x:v>관측소 당일 시작</x:v>
      </x:c>
      <x:c r="D13" s="68" t="str">
        <x:v>정합</x:v>
      </x:c>
    </x:row>
    <x:row r="14" ht="26" customHeight="1">
      <x:c r="A14" s="68" t="str">
        <x:v>슬롯 ME</x:v>
      </x:c>
      <x:c r="B14" s="68" t="n">
        <x:v>95</x:v>
      </x:c>
      <x:c r="C14" s="68" t="str">
        <x:v>9월 등록 대리 슬롯</x:v>
      </x:c>
      <x:c r="D14" s="68" t="str">
        <x:v>정합 (실물 불명)</x:v>
      </x:c>
    </x:row>
    <x:row r="15" ht="26" customHeight="1">
      <x:c r="A15" s="68" t="str">
        <x:v>슬롯 NONME</x:v>
      </x:c>
      <x:c r="B15" s="68" t="n">
        <x:v>120</x:v>
      </x:c>
      <x:c r="C15" s="68" t="str">
        <x:v>9월 등록 대리 슬롯</x:v>
      </x:c>
      <x:c r="D15" s="68" t="str">
        <x:v>정합 (실물 불명)</x:v>
      </x:c>
    </x:row>
    <x:row r="16" ht="26" customHeight="1">
      <x:c r="A16" s="68" t="str">
        <x:v>당일 밖 ME 시작 DOWN</x:v>
      </x:c>
      <x:c r="B16" s="68" t="n">
        <x:v>98</x:v>
      </x:c>
      <x:c r="C16" s="68" t="str">
        <x:v>개별 하루 UE에서 [0,1440) 밖</x:v>
      </x:c>
      <x:c r="D16" s="68" t="str">
        <x:v>기록</x:v>
      </x:c>
    </x:row>
    <x:row r="17" ht="26" customHeight="1">
      <x:c r="A17" s="68" t="str">
        <x:v>당일 밖 ME 시작 UP</x:v>
      </x:c>
      <x:c r="B17" s="68" t="n">
        <x:v>141</x:v>
      </x:c>
      <x:c r="C17" s="68" t="str">
        <x:v>개별 하루 UE에서 [0,1440) 밖</x:v>
      </x:c>
      <x:c r="D17" s="68" t="str">
        <x:v>기록</x:v>
      </x:c>
    </x:row>
    <x:row r="18" ht="26" customHeight="1">
      <x:c r="A18" s="68" t="str">
        <x:v>실측 양수 MAPE day</x:v>
      </x:c>
      <x:c r="B18" s="68" t="n">
        <x:v>284</x:v>
      </x:c>
      <x:c r="C18" s="68" t="str">
        <x:v>290-관측0건6</x:v>
      </x:c>
      <x:c r="D18" s="68" t="str">
        <x:v>정합</x:v>
      </x:c>
    </x:row>
    <x:row r="19" ht="26" customHeight="1">
      <x:c r="A19" s="68" t="str">
        <x:v>실측 양수 MAPE hour</x:v>
      </x:c>
      <x:c r="B19" s="68" t="n">
        <x:v>4108</x:v>
      </x:c>
      <x:c r="C19" s="68" t="str">
        <x:v>6960-관측0건2852</x:v>
      </x:c>
      <x:c r="D19" s="68" t="str">
        <x:v>정합</x:v>
      </x:c>
    </x:row>
    <x:row r="20" ht="26" customHeight="1">
      <x:c r="A20" s="68" t="str">
        <x:v>ME 행태 모델</x:v>
      </x:c>
      <x:c r="B20" s="68" t="str">
        <x:v>OD null / habit_soc 0</x:v>
      </x:c>
      <x:c r="C20" s="68" t="str">
        <x:v>실측 OD 적용/습관 충전 설정 아님</x:v>
      </x:c>
      <x:c r="D20" s="68" t="str">
        <x:v>구분 필요</x:v>
      </x:c>
    </x:row>
    <x:row r="21" ht="26" customHeight="1">
      <x:c r="A21" s="68" t="str">
        <x:v>환경부 제공 이력의 ME 전용 여부</x:v>
      </x:c>
      <x:c r="B21" s="68" t="str">
        <x:v>미확정</x:v>
      </x:c>
      <x:c r="C21" s="68" t="str">
        <x:v>개별 사업자 범위 조사 필요</x:v>
      </x:c>
      <x:c r="D21" s="68" t="str">
        <x:v>판정 보류</x:v>
      </x:c>
    </x:row>
    <x:row r="22" ht="26" customHeight="1">
      <x:c r="A22" s="68" t="str">
        <x:v>2월 실제 가동 슬롯</x:v>
      </x:c>
      <x:c r="B22" s="68" t="str">
        <x:v>미확정</x:v>
      </x:c>
      <x:c r="C22" s="68" t="str">
        <x:v>215는 모델 공급 proxy</x:v>
      </x:c>
      <x:c r="D22" s="68" t="str">
        <x:v>판정 보류</x:v>
      </x:c>
    </x:row>
    <x:row r="23" ht="26" customHeight="1">
      <x:c r="A23" s="68" t="str">
        <x:v>장비·시설 검증</x:v>
      </x:c>
      <x:c r="B23" s="68" t="str">
        <x:v>미확정</x:v>
      </x:c>
      <x:c r="C23" s="68" t="str">
        <x:v>2026-09 API와 2026-02 기록 실물 동일성 불명</x:v>
      </x:c>
      <x:c r="D23" s="68" t="str">
        <x:v>판정 보류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8" hidden="0" customWidth="1"/>
    <x:col min="2" max="2" width="32" hidden="0" customWidth="1"/>
    <x:col min="3" max="3" width="67" hidden="0" customWidth="1"/>
    <x:col min="4" max="4" width="60" hidden="0" customWidth="1"/>
  </x:cols>
  <x:sheetData>
    <x:row r="1" ht="31" customHeight="1">
      <x:c r="A1" s="63" t="str">
        <x:v>파일</x:v>
      </x:c>
      <x:c r="B1" s="63" t="str">
        <x:v>자료 범위</x:v>
      </x:c>
      <x:c r="C1" s="63" t="str">
        <x:v>핵심 내용</x:v>
      </x:c>
      <x:c r="D1" s="63" t="str">
        <x:v>본 엑셀 내 대응</x:v>
      </x:c>
    </x:row>
    <x:row r="2" ht="30" customHeight="1">
      <x:c r="A2" s="68" t="str">
        <x:v>compare20_v1.zip</x:v>
      </x:c>
      <x:c r="B2" s="68" t="str">
        <x:v>사용자 업로드</x:v>
      </x:c>
      <x:c r="C2" s="68" t="str">
        <x:v>기존 20 UE 결과를 비교 집계한 ZIP</x:v>
      </x:c>
      <x:c r="D2" s="68" t="str">
        <x:v>원본 파일 내용 변경 없음</x:v>
      </x:c>
    </x:row>
    <x:row r="3" ht="30" customHeight="1">
      <x:c r="A3" s="68" t="str">
        <x:v>01_station_hour_ALL35_with_NA.csv</x:v>
      </x:c>
      <x:c r="B3" s="68" t="str">
        <x:v>20개 실행×35개소×24h</x:v>
      </x:c>
      <x:c r="C3" s="68" t="str">
        <x:v>미관측 NA 포함 8,400행</x:v>
      </x:c>
      <x:c r="D3" s="68" t="str">
        <x:v>엑셀에는 관측29개소의 일·방향 시간 합계만 포함</x:v>
      </x:c>
    </x:row>
    <x:row r="4" ht="30" customHeight="1">
      <x:c r="A4" s="68" t="str">
        <x:v>02_station_day_observed29.csv</x:v>
      </x:c>
      <x:c r="B4" s="68" t="str">
        <x:v>29개소×10일</x:v>
      </x:c>
      <x:c r="C4" s="68" t="str">
        <x:v>관측 290개 휴게소 일별 비교</x:v>
      </x:c>
      <x:c r="D4" s="68" t="str">
        <x:v>04_휴게소일290</x:v>
      </x:c>
    </x:row>
    <x:row r="5" ht="30" customHeight="1">
      <x:c r="A5" s="68" t="str">
        <x:v>03_direction_day_metrics.csv</x:v>
      </x:c>
      <x:c r="B5" s="68" t="str">
        <x:v>20 방향×일</x:v>
      </x:c>
      <x:c r="C5" s="68" t="str">
        <x:v>일별 20행 MAPE/WAPE</x:v>
      </x:c>
      <x:c r="D5" s="68" t="str">
        <x:v>02_일자별20</x:v>
      </x:c>
    </x:row>
    <x:row r="6" ht="30" customHeight="1">
      <x:c r="A6" s="68" t="str">
        <x:v>04_station_10day_metrics.csv</x:v>
      </x:c>
      <x:c r="B6" s="68" t="str">
        <x:v>29 휴게소</x:v>
      </x:c>
      <x:c r="C6" s="68" t="str">
        <x:v>휴게소별 10일 시작·점유 오차</x:v>
      </x:c>
      <x:c r="D6" s="68" t="str">
        <x:v>03_휴게소별29</x:v>
      </x:c>
    </x:row>
    <x:row r="7" ht="30" customHeight="1">
      <x:c r="A7" s="68" t="str">
        <x:v>05~08 summary metrics.csv</x:v>
      </x:c>
      <x:c r="B7" s="68" t="str">
        <x:v>방향·전 노선</x:v>
      </x:c>
      <x:c r="C7" s="68" t="str">
        <x:v>집계 단위(일/시)별 합산 지표</x:v>
      </x:c>
      <x:c r="D7" s="68" t="str">
        <x:v>01_10일총괄/00_대시보드</x:v>
      </x:c>
    </x:row>
    <x:row r="8" ht="30" customHeight="1">
      <x:c r="A8" s="68" t="str">
        <x:v>09_direction_hourly_totals.csv</x:v>
      </x:c>
      <x:c r="B8" s="68" t="str">
        <x:v>2 방향×10일×24시</x:v>
      </x:c>
      <x:c r="C8" s="68" t="str">
        <x:v>방향별 480 시각 합산 비교</x:v>
      </x:c>
      <x:c r="D8" s="68" t="str">
        <x:v>05_시간대480</x:v>
      </x:c>
    </x:row>
    <x:row r="9" ht="30" customHeight="1">
      <x:c r="A9" s="68" t="str">
        <x:v>10_run_input_provenance.csv</x:v>
      </x:c>
      <x:c r="B9" s="68" t="str">
        <x:v>20개 UE 실행</x:v>
      </x:c>
      <x:c r="C9" s="68" t="str">
        <x:v>실행 설정·이월·일자 근거</x:v>
      </x:c>
      <x:c r="D9" s="68" t="str">
        <x:v>06_20개실행근거</x:v>
      </x:c>
    </x:row>
    <x:row r="10" ht="30" customHeight="1">
      <x:c r="A10" s="68" t="str">
        <x:v>validation_checks.json</x:v>
      </x:c>
      <x:c r="B10" s="68" t="str">
        <x:v>검증기 QA</x:v>
      </x:c>
      <x:c r="C10" s="68" t="str">
        <x:v>20개 실행·관측/비관측·변수 조건</x:v>
      </x:c>
      <x:c r="D10" s="68" t="str">
        <x:v>09_QA검산</x:v>
      </x:c>
    </x:row>
    <x:row r="11" ht="30" customHeight="1">
      <x:c r="A11" s="68" t="str">
        <x:v>VALIDATION_REPORT.md</x:v>
      </x:c>
      <x:c r="B11" s="68" t="str">
        <x:v>기존 검증기 결과</x:v>
      </x:c>
      <x:c r="C11" s="68" t="str">
        <x:v>기술적 진단 산출물</x:v>
      </x:c>
      <x:c r="D11" s="68" t="str">
        <x:v>최종 한국어 보고서에서 확대 분석</x:v>
      </x:c>
    </x:row>
    <x:row r="12" ht="30" customHeight="1">
      <x:c r="A12" s="68" t="str">
        <x:v>SP3_64_BASE215_10day_validation_final_20261012.md</x:v>
      </x:c>
      <x:c r="B12" s="68" t="str">
        <x:v>업로드 CSV 재검산 보고서</x:v>
      </x:c>
      <x:c r="C12" s="68" t="str">
        <x:v>날짜별·지점별 원인 분석 및 한계</x:v>
      </x:c>
      <x:c r="D12" s="68" t="str">
        <x:v>다운로드 문서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0" hidden="0" customWidth="1"/>
    <x:col min="3" max="3" width="25" hidden="0" customWidth="1"/>
    <x:col min="4" max="4" width="14" hidden="0" customWidth="1"/>
    <x:col min="5" max="5" width="13" hidden="0" customWidth="1"/>
    <x:col min="6" max="6" width="16" hidden="0" customWidth="1"/>
    <x:col min="7" max="7" width="13" hidden="0" customWidth="1"/>
    <x:col min="8" max="8" width="13" hidden="0" customWidth="1"/>
    <x:col min="9" max="9" width="13" hidden="0" customWidth="1"/>
    <x:col min="10" max="10" width="18" hidden="0" customWidth="1"/>
    <x:col min="11" max="11" width="25" hidden="0" customWidth="1"/>
    <x:col min="12" max="12" width="45" hidden="0" customWidth="1"/>
    <x:col min="13" max="13" width="45" hidden="0" customWidth="1"/>
    <x:col min="14" max="14" width="47" hidden="0" customWidth="1"/>
    <x:col min="15" max="15" width="47" hidden="0" customWidth="1"/>
    <x:col min="16" max="16" width="28" hidden="0" customWidth="1"/>
  </x:cols>
  <x:sheetData>
    <x:row r="1" ht="29" customHeight="1">
      <x:c r="A1" s="89" t="str">
        <x:v>순위</x:v>
      </x:c>
      <x:c r="B1" s="89" t="str">
        <x:v>방향</x:v>
      </x:c>
      <x:c r="C1" s="89" t="str">
        <x:v>휴게소</x:v>
      </x:c>
      <x:c r="D1" s="89" t="str">
        <x:v>실측 10일</x:v>
      </x:c>
      <x:c r="E1" s="89" t="str">
        <x:v>모델 ME</x:v>
      </x:c>
      <x:c r="F1" s="89" t="str">
        <x:v>모델 ALL·진단용</x:v>
      </x:c>
      <x:c r="G1" s="89" t="str">
        <x:v>모델 NONME</x:v>
      </x:c>
      <x:c r="H1" s="89" t="str">
        <x:v>ME−실측</x:v>
      </x:c>
      <x:c r="I1" s="89" t="str">
        <x:v>ALL−실측</x:v>
      </x:c>
      <x:c r="J1" s="89" t="str">
        <x:v>일별 절대오차 합</x:v>
      </x:c>
      <x:c r="K1" s="89" t="str">
        <x:v>근거 유형</x:v>
      </x:c>
      <x:c r="L1" s="89" t="str">
        <x:v>이전 검증 기록</x:v>
      </x:c>
      <x:c r="M1" s="89" t="str">
        <x:v>이번 결과 적용</x:v>
      </x:c>
      <x:c r="N1" s="89" t="str">
        <x:v>미확정·후속</x:v>
      </x:c>
      <x:c r="O1" s="89" t="str">
        <x:v>과거 근거 파일</x:v>
      </x:c>
      <x:c r="P1" s="89" t="str">
        <x:v>확신 수준</x:v>
      </x:c>
    </x:row>
    <x:row r="2" ht="58" customHeight="1">
      <x:c r="A2" t="n">
        <x:v>1</x:v>
      </x:c>
      <x:c r="B2" t="str">
        <x:v>DOWN</x:v>
      </x:c>
      <x:c r="C2" t="str">
        <x:v>평사휴게소</x:v>
      </x:c>
      <x:c r="D2" s="91" t="n">
        <x:v>428</x:v>
      </x:c>
      <x:c r="E2" s="91" t="n">
        <x:v>1596</x:v>
      </x:c>
      <x:c r="F2" s="91" t="n">
        <x:v>1596</x:v>
      </x:c>
      <x:c r="G2" s="91" t="n">
        <x:f>F2-E2</x:f>
        <x:v>0</x:v>
      </x:c>
      <x:c r="H2" s="91" t="n">
        <x:f>E2-D2</x:f>
        <x:v>1168</x:v>
      </x:c>
      <x:c r="I2" s="91" t="n">
        <x:f>F2-D2</x:f>
        <x:v>1168</x:v>
      </x:c>
      <x:c r="J2" s="91" t="n">
        <x:v>1168</x:v>
      </x:c>
      <x:c r="K2" s="90" t="str">
        <x:v>P0 시설·공급 대응</x:v>
      </x:c>
      <x:c r="L2" s="90" t="str">
        <x:v>설 당시 피크 5세션·9월 ME4·BASE4. 50kW/100kW 멀티 구형 시설 신원 미확정.</x:v>
      </x:c>
      <x:c r="M2" s="90" t="str">
        <x:v>ME=ALL이며 모두 과대; 운영사 선택만으로는 1,168건 초과를 설명 못함. 과거 피크 +1을 자동 추가하지 않음.</x:v>
      </x:c>
      <x:c r="N2" s="90" t="str">
        <x:v>배정 비용·목적지/위치·충전곡선의 과대 선택 기여를 기존 이벤트로 분해</x:v>
      </x:c>
      <x:c r="O2" s="90" t="str">
        <x:v>P0_10곳 통합보고서; SUPPLY_AND_VALIDATION_FINAL_20261012.md</x:v>
      </x:c>
      <x:c r="P2" s="90" t="str">
        <x:v>역사적 공급 불일치 확인 / 10일 선택 원인 미확정</x:v>
      </x:c>
    </x:row>
    <x:row r="3" ht="58" customHeight="1">
      <x:c r="A3" t="n">
        <x:v>2</x:v>
      </x:c>
      <x:c r="B3" t="str">
        <x:v>DOWN</x:v>
      </x:c>
      <x:c r="C3" t="str">
        <x:v>칠곡휴게소</x:v>
      </x:c>
      <x:c r="D3" s="91" t="n">
        <x:v>1073</x:v>
      </x:c>
      <x:c r="E3" s="91" t="n">
        <x:v>106</x:v>
      </x:c>
      <x:c r="F3" s="91" t="n">
        <x:v>2396</x:v>
      </x:c>
      <x:c r="G3" s="91" t="n">
        <x:f>F3-E3</x:f>
        <x:v>2290</x:v>
      </x:c>
      <x:c r="H3" s="91" t="n">
        <x:f>E3-D3</x:f>
        <x:v>-967</x:v>
      </x:c>
      <x:c r="I3" s="91" t="n">
        <x:f>F3-D3</x:f>
        <x:v>1323</x:v>
      </x:c>
      <x:c r="J3" s="91" t="n">
        <x:v>967</x:v>
      </x:c>
      <x:c r="K3" s="90" t="str">
        <x:v>P0 10일 기기 서명 감사</x:v>
      </x:c>
      <x:c r="L3" s="90" t="str">
        <x:v>실측 1,073시작, 50kW 동일 전체 서명 중첩 27쌍·9월 ME3; 실제 설 장비 신원 미확정.</x:v>
      </x:c>
      <x:c r="M3" s="90" t="str">
        <x:v>ME=106으로 크게 부족, ALL=2,396으로 반대로 과다. 운영사 대리 매핑 민감도가 극단적.</x:v>
      </x:c>
      <x:c r="N3" s="90" t="str">
        <x:v>기존 45개 서명 감사/10일 세션표를 재사용해 50kW 기록과 9월 ME/NONME 매핑을 대조</x:v>
      </x:c>
      <x:c r="O3" s="90" t="str">
        <x:v>sp3_64_p0_10sites_integration_report_20261011.md; sp3_64_p0_crosswalk_gap_conclusion_20261011.md</x:v>
      </x:c>
      <x:c r="P3" s="90" t="str">
        <x:v>동일 세부서명 중첩 확인 / 원인 후보 복수</x:v>
      </x:c>
    </x:row>
    <x:row r="4" ht="58" customHeight="1">
      <x:c r="A4" t="n">
        <x:v>3</x:v>
      </x:c>
      <x:c r="B4" t="str">
        <x:v>UP</x:v>
      </x:c>
      <x:c r="C4" t="str">
        <x:v>죽암휴게소</x:v>
      </x:c>
      <x:c r="D4" s="91" t="n">
        <x:v>733</x:v>
      </x:c>
      <x:c r="E4" s="91" t="n">
        <x:v>11</x:v>
      </x:c>
      <x:c r="F4" s="91" t="n">
        <x:v>11</x:v>
      </x:c>
      <x:c r="G4" s="91" t="n">
        <x:f>F4-E4</x:f>
        <x:v>0</x:v>
      </x:c>
      <x:c r="H4" s="91" t="n">
        <x:f>E4-D4</x:f>
        <x:v>-722</x:v>
      </x:c>
      <x:c r="I4" s="91" t="n">
        <x:f>F4-D4</x:f>
        <x:v>-722</x:v>
      </x:c>
      <x:c r="J4" s="91" t="n">
        <x:v>722</x:v>
      </x:c>
      <x:c r="K4" s="90" t="str">
        <x:v>기존 UE 선택 재생 + P0 감사</x:v>
      </x:c>
      <x:c r="L4" s="90" t="str">
        <x:v>기존 UP 2/17 후보480·최종선택2, 미선택 478 중 370대는 다른 계획이 1.01분 이상 유리. 실측 50kW 동일 세부 서명 중첩 1쌍.</x:v>
      </x:c>
      <x:c r="M4" s="90" t="str">
        <x:v>이번 10일 ME=ALL=11: NONME 필터 탓이 아님. 모델 내부 선택 편중이 확인된 기존 하루와 같은 양상.</x:v>
      </x:c>
      <x:c r="N4" s="90" t="str">
        <x:v>기존 선택/후보 진단 재사용; 10일 날짜별 선택 비용을 원인 분해(필요 시에만)</x:v>
      </x:c>
      <x:c r="O4" s="90" t="str">
        <x:v>ISSUE_64_CLOSEOUT_DRAFT.md §3; sp3_64_p0_10sites_integration_report_20261011.md</x:v>
      </x:c>
      <x:c r="P4" s="90" t="str">
        <x:v>선택 메커니즘은 특정 1일 확인 / 10일 인과는 미확정</x:v>
      </x:c>
    </x:row>
    <x:row r="5" ht="58" customHeight="1">
      <x:c r="A5" t="n">
        <x:v>4</x:v>
      </x:c>
      <x:c r="B5" t="str">
        <x:v>UP</x:v>
      </x:c>
      <x:c r="C5" t="str">
        <x:v>추풍령휴게소</x:v>
      </x:c>
      <x:c r="D5" s="91" t="n">
        <x:v>321</x:v>
      </x:c>
      <x:c r="E5" s="91" t="n">
        <x:v>1029</x:v>
      </x:c>
      <x:c r="F5" s="91" t="n">
        <x:v>1342</x:v>
      </x:c>
      <x:c r="G5" s="91" t="n">
        <x:f>F5-E5</x:f>
        <x:v>313</x:v>
      </x:c>
      <x:c r="H5" s="91" t="n">
        <x:f>E5-D5</x:f>
        <x:v>708</x:v>
      </x:c>
      <x:c r="I5" s="91" t="n">
        <x:f>F5-D5</x:f>
        <x:v>1021</x:v>
      </x:c>
      <x:c r="J5" s="91" t="n">
        <x:v>708</x:v>
      </x:c>
      <x:c r="K5" s="90" t="str">
        <x:v>이번 10일 분포 대조</x:v>
      </x:c>
      <x:c r="L5" s="90" t="str">
        <x:v>이전 P0 시설 상세/UE 선택 원인 확정 기록은 확보되지 않음.</x:v>
      </x:c>
      <x:c r="M5" s="90" t="str">
        <x:v>ME=1,029, ALL=1,342로 어느 쪽도 관측 321건보다 많음: 운영사 필터만의 문제 아님.</x:v>
      </x:c>
      <x:c r="N5" s="90" t="str">
        <x:v>계획 후보·실제 선택·역방향/이정 매핑·고출력 충전기 속성을 우선 감사</x:v>
      </x:c>
      <x:c r="O5" s="90" t="str">
        <x:v>compare20_v1/04_station_10day_metrics.csv</x:v>
      </x:c>
      <x:c r="P5" s="90" t="str">
        <x:v>오차 확인 / 과대 선택 원인 미확정</x:v>
      </x:c>
    </x:row>
    <x:row r="6" ht="58" customHeight="1">
      <x:c r="A6" t="n">
        <x:v>5</x:v>
      </x:c>
      <x:c r="B6" t="str">
        <x:v>UP</x:v>
      </x:c>
      <x:c r="C6" t="str">
        <x:v>죽전휴게소</x:v>
      </x:c>
      <x:c r="D6" s="91" t="n">
        <x:v>724</x:v>
      </x:c>
      <x:c r="E6" s="91" t="n">
        <x:v>29</x:v>
      </x:c>
      <x:c r="F6" s="91" t="n">
        <x:v>29</x:v>
      </x:c>
      <x:c r="G6" s="91" t="n">
        <x:f>F6-E6</x:f>
        <x:v>0</x:v>
      </x:c>
      <x:c r="H6" s="91" t="n">
        <x:f>E6-D6</x:f>
        <x:v>-695</x:v>
      </x:c>
      <x:c r="I6" s="91" t="n">
        <x:f>F6-D6</x:f>
        <x:v>-695</x:v>
      </x:c>
      <x:c r="J6" s="91" t="n">
        <x:v>695</x:v>
      </x:c>
      <x:c r="K6" s="90" t="str">
        <x:v>기존 UE 선택/충전곡선 재생</x:v>
      </x:c>
      <x:c r="L6" s="90" t="str">
        <x:v>기존 UP 2/17 후보441·선택0. 안성 공통 후보 441대: 안성 우위233, 죽전 우위2, 동률206. SoC 경계·고출력 동률 구조 확인.</x:v>
      </x:c>
      <x:c r="M6" s="90" t="str">
        <x:v>이번 10일 ME=ALL=29: 모델 내부 선택 편중 가능성을 강하게 뒷받침, 운영사 필터로는 해명 안 됨.</x:v>
      </x:c>
      <x:c r="N6" s="90" t="str">
        <x:v>이미 검증한 UP 2/17 비용 구성 보존; 다른 날짜로 일반화하는지 확인</x:v>
      </x:c>
      <x:c r="O6" s="90" t="str">
        <x:v>ISSUE_64_CLOSEOUT_DRAFT.md §3; SUPPLY_AND_VALIDATION_FINAL_20261012.md</x:v>
      </x:c>
      <x:c r="P6" s="90" t="str">
        <x:v>선택 비용 원리 기존 1일 검증 / 외부 실측 행동 미검증</x:v>
      </x:c>
    </x:row>
    <x:row r="7" ht="58" customHeight="1">
      <x:c r="A7" t="n">
        <x:v>6</x:v>
      </x:c>
      <x:c r="B7" t="str">
        <x:v>UP</x:v>
      </x:c>
      <x:c r="C7" t="str">
        <x:v>천안삼거리휴게소</x:v>
      </x:c>
      <x:c r="D7" s="91" t="n">
        <x:v>1107</x:v>
      </x:c>
      <x:c r="E7" s="91" t="n">
        <x:v>606</x:v>
      </x:c>
      <x:c r="F7" s="91" t="n">
        <x:v>606</x:v>
      </x:c>
      <x:c r="G7" s="91" t="n">
        <x:f>F7-E7</x:f>
        <x:v>0</x:v>
      </x:c>
      <x:c r="H7" s="91" t="n">
        <x:f>E7-D7</x:f>
        <x:v>-501</x:v>
      </x:c>
      <x:c r="I7" s="91" t="n">
        <x:f>F7-D7</x:f>
        <x:v>-501</x:v>
      </x:c>
      <x:c r="J7" s="91" t="n">
        <x:v>501</x:v>
      </x:c>
      <x:c r="K7" s="90" t="str">
        <x:v>기존 지점 특화 분석 없음</x:v>
      </x:c>
      <x:c r="L7" s="90" t="str">
        <x:v>이번 10일 집계 전에는 지점별 원인 검증 기록을 확보하지 못함.</x:v>
      </x:c>
      <x:c r="M7" s="90" t="str">
        <x:v>실측/모델 비교만 확인됨.</x:v>
      </x:c>
      <x:c r="N7" s="90" t="str">
        <x:v>기존 원자료 내 운영사·선택/출력 확인 후 원인 분해가 필요하면 진행.</x:v>
      </x:c>
      <x:c r="O7" s="90" t="str">
        <x:v>compare20_v1/04_station_10day_metrics.csv</x:v>
      </x:c>
      <x:c r="P7" s="90" t="str">
        <x:v>오차만 확인 / 원인 미확정</x:v>
      </x:c>
    </x:row>
    <x:row r="8" ht="58" customHeight="1">
      <x:c r="A8" t="n">
        <x:v>7</x:v>
      </x:c>
      <x:c r="B8" t="str">
        <x:v>UP</x:v>
      </x:c>
      <x:c r="C8" t="str">
        <x:v>안성휴게소</x:v>
      </x:c>
      <x:c r="D8" s="91" t="n">
        <x:v>480</x:v>
      </x:c>
      <x:c r="E8" s="91" t="n">
        <x:v>6</x:v>
      </x:c>
      <x:c r="F8" s="91" t="n">
        <x:v>2406</x:v>
      </x:c>
      <x:c r="G8" s="91" t="n">
        <x:f>F8-E8</x:f>
        <x:v>2400</x:v>
      </x:c>
      <x:c r="H8" s="91" t="n">
        <x:f>E8-D8</x:f>
        <x:v>-474</x:v>
      </x:c>
      <x:c r="I8" s="91" t="n">
        <x:f>F8-D8</x:f>
        <x:v>1926</x:v>
      </x:c>
      <x:c r="J8" s="91" t="n">
        <x:v>474</x:v>
      </x:c>
      <x:c r="K8" s="90" t="str">
        <x:v>기존 UE 충전기 선택 재생 + 2월 장비 ID</x:v>
      </x:c>
      <x:c r="L8" s="90" t="str">
        <x:v>이전 UP 실험 안성 후보612·선택284. 260kW 4슬롯에 281건, 200kW ME는 3건. MAX_POWER_IDLE 동작 일치. 별도로 2월 월간 동일ID·사양 중첩121쌍.</x:v>
      </x:c>
      <x:c r="M8" s="90" t="str">
        <x:v>이번 10일 ME=6, ALL=2,406으로 비교 모집단에 따라 해석 역전. 사용자 실제 사업자 선호 증거 아님.</x:v>
      </x:c>
      <x:c r="N8" s="90" t="str">
        <x:v>기존 260/200kW 슬롯 매핑과 9월 운영사 대리분류를 먼저 확인; 2월 121쌍은 월간 근거로만 표시</x:v>
      </x:c>
      <x:c r="O8" s="90" t="str">
        <x:v>ISSUE_64_CLOSEOUT_DRAFT.md §3; sp3_64_existing_research_gap_report_20261011.md</x:v>
      </x:c>
      <x:c r="P8" s="90" t="str">
        <x:v>모델 배정 규칙 검증 / 실제 2월 운영사 미확정</x:v>
      </x:c>
    </x:row>
    <x:row r="9" ht="58" customHeight="1">
      <x:c r="A9" t="n">
        <x:v>8</x:v>
      </x:c>
      <x:c r="B9" t="str">
        <x:v>DOWN</x:v>
      </x:c>
      <x:c r="C9" t="str">
        <x:v>추풍령휴게소</x:v>
      </x:c>
      <x:c r="D9" s="91" t="n">
        <x:v>199</x:v>
      </x:c>
      <x:c r="E9" s="91" t="n">
        <x:v>633</x:v>
      </x:c>
      <x:c r="F9" s="91" t="n">
        <x:v>835</x:v>
      </x:c>
      <x:c r="G9" s="91" t="n">
        <x:f>F9-E9</x:f>
        <x:v>202</x:v>
      </x:c>
      <x:c r="H9" s="91" t="n">
        <x:f>E9-D9</x:f>
        <x:v>434</x:v>
      </x:c>
      <x:c r="I9" s="91" t="n">
        <x:f>F9-D9</x:f>
        <x:v>636</x:v>
      </x:c>
      <x:c r="J9" s="91" t="n">
        <x:v>434</x:v>
      </x:c>
      <x:c r="K9" s="90" t="str">
        <x:v>기존 지점 특화 분석 없음</x:v>
      </x:c>
      <x:c r="L9" s="90" t="str">
        <x:v>이번 10일 집계 전에는 지점별 원인 검증 기록을 확보하지 못함.</x:v>
      </x:c>
      <x:c r="M9" s="90" t="str">
        <x:v>실측/모델 비교만 확인됨.</x:v>
      </x:c>
      <x:c r="N9" s="90" t="str">
        <x:v>기존 원자료 내 운영사·선택/출력 확인 후 원인 분해가 필요하면 진행.</x:v>
      </x:c>
      <x:c r="O9" s="90" t="str">
        <x:v>compare20_v1/04_station_10day_metrics.csv</x:v>
      </x:c>
      <x:c r="P9" s="90" t="str">
        <x:v>오차만 확인 / 원인 미확정</x:v>
      </x:c>
    </x:row>
    <x:row r="10" ht="58" customHeight="1">
      <x:c r="A10" t="n">
        <x:v>9</x:v>
      </x:c>
      <x:c r="B10" t="str">
        <x:v>DOWN</x:v>
      </x:c>
      <x:c r="C10" t="str">
        <x:v>천안호두휴게소</x:v>
      </x:c>
      <x:c r="D10" s="91" t="n">
        <x:v>393</x:v>
      </x:c>
      <x:c r="E10" s="91" t="n">
        <x:v>1</x:v>
      </x:c>
      <x:c r="F10" s="91" t="n">
        <x:v>285</x:v>
      </x:c>
      <x:c r="G10" s="91" t="n">
        <x:f>F10-E10</x:f>
        <x:v>284</x:v>
      </x:c>
      <x:c r="H10" s="91" t="n">
        <x:f>E10-D10</x:f>
        <x:v>-392</x:v>
      </x:c>
      <x:c r="I10" s="91" t="n">
        <x:f>F10-D10</x:f>
        <x:v>-108</x:v>
      </x:c>
      <x:c r="J10" s="91" t="n">
        <x:v>392</x:v>
      </x:c>
      <x:c r="K10" s="90" t="str">
        <x:v>P0 기기 서명 대조</x:v>
      </x:c>
      <x:c r="L10" s="90" t="str">
        <x:v>실측 393, 9월 ME2. 과거 100kW 단독·멀티 기록이 다르고 100kW 멀티 일부는 9월 API 일치 후보 없음.</x:v>
      </x:c>
      <x:c r="M10" s="90" t="str">
        <x:v>ME=1과 ALL=285 차이가 큼. 운영사 필터/옛 충전기 신원 차이 확인 필요.</x:v>
      </x:c>
      <x:c r="N10" s="90" t="str">
        <x:v>기존 3개 서명·2025 등록 근거 대조; 2월 물리 신원은 보류</x:v>
      </x:c>
      <x:c r="O10" s="90" t="str">
        <x:v>sp3_64_p0_crosswalk_gap_conclusion_20261011.md; sp3_64_p0_10sites_integration_report_20261011.md</x:v>
      </x:c>
      <x:c r="P10" s="90" t="str">
        <x:v>세션/후보 대조 완료 / 사업자 신원 미확정</x:v>
      </x:c>
    </x:row>
    <x:row r="11" ht="58" customHeight="1">
      <x:c r="A11" t="n">
        <x:v>10</x:v>
      </x:c>
      <x:c r="B11" t="str">
        <x:v>DOWN</x:v>
      </x:c>
      <x:c r="C11" t="str">
        <x:v>안성휴게소</x:v>
      </x:c>
      <x:c r="D11" s="91" t="n">
        <x:v>344</x:v>
      </x:c>
      <x:c r="E11" s="91" t="n">
        <x:v>39</x:v>
      </x:c>
      <x:c r="F11" s="91" t="n">
        <x:v>1591</x:v>
      </x:c>
      <x:c r="G11" s="91" t="n">
        <x:f>F11-E11</x:f>
        <x:v>1552</x:v>
      </x:c>
      <x:c r="H11" s="91" t="n">
        <x:f>E11-D11</x:f>
        <x:v>-305</x:v>
      </x:c>
      <x:c r="I11" s="91" t="n">
        <x:f>F11-D11</x:f>
        <x:v>1247</x:v>
      </x:c>
      <x:c r="J11" s="91" t="n">
        <x:v>305</x:v>
      </x:c>
      <x:c r="K11" s="90" t="str">
        <x:v>기존 지점 특화 분석 없음</x:v>
      </x:c>
      <x:c r="L11" s="90" t="str">
        <x:v>이번 10일 집계 전에는 지점별 원인 검증 기록을 확보하지 못함.</x:v>
      </x:c>
      <x:c r="M11" s="90" t="str">
        <x:v>실측/모델 비교만 확인됨.</x:v>
      </x:c>
      <x:c r="N11" s="90" t="str">
        <x:v>기존 원자료 내 운영사·선택/출력 확인 후 원인 분해가 필요하면 진행.</x:v>
      </x:c>
      <x:c r="O11" s="90" t="str">
        <x:v>compare20_v1/04_station_10day_metrics.csv</x:v>
      </x:c>
      <x:c r="P11" s="90" t="str">
        <x:v>오차만 확인 / 원인 미확정</x:v>
      </x:c>
    </x:row>
    <x:row r="12" ht="58" customHeight="1">
      <x:c r="A12" t="n">
        <x:v>11</x:v>
      </x:c>
      <x:c r="B12" t="str">
        <x:v>UP</x:v>
      </x:c>
      <x:c r="C12" t="str">
        <x:v>청주휴게소</x:v>
      </x:c>
      <x:c r="D12" s="91" t="n">
        <x:v>284</x:v>
      </x:c>
      <x:c r="E12" s="91" t="n">
        <x:v>1</x:v>
      </x:c>
      <x:c r="F12" s="91" t="n">
        <x:v>917</x:v>
      </x:c>
      <x:c r="G12" s="91" t="n">
        <x:f>F12-E12</x:f>
        <x:v>916</x:v>
      </x:c>
      <x:c r="H12" s="91" t="n">
        <x:f>E12-D12</x:f>
        <x:v>-283</x:v>
      </x:c>
      <x:c r="I12" s="91" t="n">
        <x:f>F12-D12</x:f>
        <x:v>633</x:v>
      </x:c>
      <x:c r="J12" s="91" t="n">
        <x:v>283</x:v>
      </x:c>
      <x:c r="K12" s="90" t="str">
        <x:v>이번 ME/NONME 분할 대조</x:v>
      </x:c>
      <x:c r="L12" s="90" t="str">
        <x:v>이전 이 지점의 역사적 장비 신원 확인 근거는 확보되지 않음.</x:v>
      </x:c>
      <x:c r="M12" s="90" t="str">
        <x:v>ME=1, ALL=917. 운영사 분할만으로 관측 대비 오차 방향이 역전.</x:v>
      </x:c>
      <x:c r="N12" s="90" t="str">
        <x:v>운영사 슬롯 9월 분류·충전 시작 시각·ME 장비 신원은 자료 있는 범위만 대조</x:v>
      </x:c>
      <x:c r="O12" s="90" t="str">
        <x:v>compare20_v1/04_station_10day_metrics.csv</x:v>
      </x:c>
      <x:c r="P12" s="90" t="str">
        <x:v>모집단 민감도 확인 / 외부 사업자 미확정</x:v>
      </x:c>
    </x:row>
    <x:row r="13" ht="58" customHeight="1">
      <x:c r="A13" t="n">
        <x:v>12</x:v>
      </x:c>
      <x:c r="B13" t="str">
        <x:v>DOWN</x:v>
      </x:c>
      <x:c r="C13" t="str">
        <x:v>금강휴게소</x:v>
      </x:c>
      <x:c r="D13" s="91" t="n">
        <x:v>265</x:v>
      </x:c>
      <x:c r="E13" s="91" t="n">
        <x:v>13</x:v>
      </x:c>
      <x:c r="F13" s="91" t="n">
        <x:v>13</x:v>
      </x:c>
      <x:c r="G13" s="91" t="n">
        <x:f>F13-E13</x:f>
        <x:v>0</x:v>
      </x:c>
      <x:c r="H13" s="91" t="n">
        <x:f>E13-D13</x:f>
        <x:v>-252</x:v>
      </x:c>
      <x:c r="I13" s="91" t="n">
        <x:f>F13-D13</x:f>
        <x:v>-252</x:v>
      </x:c>
      <x:c r="J13" s="91" t="n">
        <x:v>252</x:v>
      </x:c>
      <x:c r="K13" s="90" t="str">
        <x:v>기존 이름 수정 + 충전소 후보 누락 발견</x:v>
      </x:c>
      <x:c r="L13" s="90" t="str">
        <x:v>‘기존 선정 지점 11’ 명칭을 금강으로 정리. 9월 API 이름 미매핑 중 에버온 EV011687 충전 레코드 6개 후보 발견; 본선 접근/시점 확인 전 미채택.</x:v>
      </x:c>
      <x:c r="M13" s="90" t="str">
        <x:v>ME=ALL=13 대비 실측265. 6기 후보는 기본215에 자동 추가하거나 성능 보정값으로 쓰면 안 됨.</x:v>
      </x:c>
      <x:c r="N13" s="90" t="str">
        <x:v>에버온 후보 원본 year/위경도/delYn과 양방향 공용 접근성만 확인(기존 감사 자료 우선)</x:v>
      </x:c>
      <x:c r="O13" s="90" t="str">
        <x:v>sp3_64_p0_crosswalk_gap_conclusion_20261011.md; BASE215 공급 최종 문서</x:v>
      </x:c>
      <x:c r="P13" s="90" t="str">
        <x:v>지점 이름 문제 해결 / 추가 설비 후보 미채택</x:v>
      </x:c>
    </x:row>
    <x:row r="14" ht="58" customHeight="1">
      <x:c r="A14" t="n">
        <x:v>13</x:v>
      </x:c>
      <x:c r="B14" t="str">
        <x:v>DOWN</x:v>
      </x:c>
      <x:c r="C14" t="str">
        <x:v>건천휴게소</x:v>
      </x:c>
      <x:c r="D14" s="91" t="n">
        <x:v>748</x:v>
      </x:c>
      <x:c r="E14" s="91" t="n">
        <x:v>616</x:v>
      </x:c>
      <x:c r="F14" s="91" t="n">
        <x:v>616</x:v>
      </x:c>
      <x:c r="G14" s="91" t="n">
        <x:f>F14-E14</x:f>
        <x:v>0</x:v>
      </x:c>
      <x:c r="H14" s="91" t="n">
        <x:f>E14-D14</x:f>
        <x:v>-132</x:v>
      </x:c>
      <x:c r="I14" s="91" t="n">
        <x:f>F14-D14</x:f>
        <x:v>-132</x:v>
      </x:c>
      <x:c r="J14" s="91" t="n">
        <x:v>210</x:v>
      </x:c>
      <x:c r="K14" s="90" t="str">
        <x:v>기존 지점 특화 분석 없음</x:v>
      </x:c>
      <x:c r="L14" s="90" t="str">
        <x:v>이번 10일 집계 전에는 지점별 원인 검증 기록을 확보하지 못함.</x:v>
      </x:c>
      <x:c r="M14" s="90" t="str">
        <x:v>실측/모델 비교만 확인됨.</x:v>
      </x:c>
      <x:c r="N14" s="90" t="str">
        <x:v>기존 원자료 내 운영사·선택/출력 확인 후 원인 분해가 필요하면 진행.</x:v>
      </x:c>
      <x:c r="O14" s="90" t="str">
        <x:v>compare20_v1/04_station_10day_metrics.csv</x:v>
      </x:c>
      <x:c r="P14" s="90" t="str">
        <x:v>오차만 확인 / 원인 미확정</x:v>
      </x:c>
    </x:row>
    <x:row r="15" ht="58" customHeight="1">
      <x:c r="A15" t="n">
        <x:v>14</x:v>
      </x:c>
      <x:c r="B15" t="str">
        <x:v>DOWN</x:v>
      </x:c>
      <x:c r="C15" t="str">
        <x:v>통도사휴게소</x:v>
      </x:c>
      <x:c r="D15" s="91" t="n">
        <x:v>205</x:v>
      </x:c>
      <x:c r="E15" s="91" t="n">
        <x:v>0</x:v>
      </x:c>
      <x:c r="F15" s="91" t="n">
        <x:v>58</x:v>
      </x:c>
      <x:c r="G15" s="91" t="n">
        <x:f>F15-E15</x:f>
        <x:v>58</x:v>
      </x:c>
      <x:c r="H15" s="91" t="n">
        <x:f>E15-D15</x:f>
        <x:v>-205</x:v>
      </x:c>
      <x:c r="I15" s="91" t="n">
        <x:f>F15-D15</x:f>
        <x:v>-147</x:v>
      </x:c>
      <x:c r="J15" s="91" t="n">
        <x:v>205</x:v>
      </x:c>
      <x:c r="K15" s="90" t="str">
        <x:v>P0 구형 충전기 기록</x:v>
      </x:c>
      <x:c r="L15" s="90" t="str">
        <x:v>2월 50kW 표시ID 01~03 충전 시작 205건·피크 3. 9월 ME=0, 해당 구형 기기와 9월 비ME 사양 미대응.</x:v>
      </x:c>
      <x:c r="M15" s="90" t="str">
        <x:v>ME=0, ALL=58. 2월 0이 아니라 사업자·구형 장비 범위의 불일치.</x:v>
      </x:c>
      <x:c r="N15" s="90" t="str">
        <x:v>50kW 구형 기기 설치·운영·교체 시점 미확정이라고 기존 판정 유지</x:v>
      </x:c>
      <x:c r="O15" s="90" t="str">
        <x:v>sp3_64_p0_10sites_integration_report_20261011.md</x:v>
      </x:c>
      <x:c r="P15" s="90" t="str">
        <x:v>구형 2월 이력 확인 / 운영사 확인 필요</x:v>
      </x:c>
    </x:row>
    <x:row r="16" ht="58" customHeight="1">
      <x:c r="A16" t="n">
        <x:v>15</x:v>
      </x:c>
      <x:c r="B16" t="str">
        <x:v>UP</x:v>
      </x:c>
      <x:c r="C16" t="str">
        <x:v>건천휴게소</x:v>
      </x:c>
      <x:c r="D16" s="91" t="n">
        <x:v>543</x:v>
      </x:c>
      <x:c r="E16" s="91" t="n">
        <x:v>340</x:v>
      </x:c>
      <x:c r="F16" s="91" t="n">
        <x:v>340</x:v>
      </x:c>
      <x:c r="G16" s="91" t="n">
        <x:f>F16-E16</x:f>
        <x:v>0</x:v>
      </x:c>
      <x:c r="H16" s="91" t="n">
        <x:f>E16-D16</x:f>
        <x:v>-203</x:v>
      </x:c>
      <x:c r="I16" s="91" t="n">
        <x:f>F16-D16</x:f>
        <x:v>-203</x:v>
      </x:c>
      <x:c r="J16" s="91" t="n">
        <x:v>203</x:v>
      </x:c>
      <x:c r="K16" s="90" t="str">
        <x:v>P0 구형 충전기/피크 조사</x:v>
      </x:c>
      <x:c r="L16" s="90" t="str">
        <x:v>실측543·피크4 vs 9월 ME2·BASE2. 50kW 및 100kW 멀티 구형 설비 이력 확인.</x:v>
      </x:c>
      <x:c r="M16" s="90" t="str">
        <x:v>ME=ALL=340. 설비 개수가 과소일 가능성은 있으나 피크로 2슬롯을 임의 추가하지 않음.</x:v>
      </x:c>
      <x:c r="N16" s="90" t="str">
        <x:v>기존 P0 이력에서 사양/기기 전환 구분, 그 외 선택 원인 필요시만</x:v>
      </x:c>
      <x:c r="O16" s="90" t="str">
        <x:v>sp3_64_p0_10sites_integration_report_20261011.md; SUPPLY_AND_VALIDATION_FINAL_20261012.md</x:v>
      </x:c>
      <x:c r="P16" s="90" t="str">
        <x:v>피크/ME 차이 확인 / 실제 슬롯 미확정</x:v>
      </x:c>
    </x:row>
    <x:row r="17" ht="58" customHeight="1">
      <x:c r="A17" t="n">
        <x:v>16</x:v>
      </x:c>
      <x:c r="B17" t="str">
        <x:v>UP</x:v>
      </x:c>
      <x:c r="C17" t="str">
        <x:v>신탄진휴게소</x:v>
      </x:c>
      <x:c r="D17" s="91" t="n">
        <x:v>893</x:v>
      </x:c>
      <x:c r="E17" s="91" t="n">
        <x:v>1020</x:v>
      </x:c>
      <x:c r="F17" s="91" t="n">
        <x:v>1205</x:v>
      </x:c>
      <x:c r="G17" s="91" t="n">
        <x:f>F17-E17</x:f>
        <x:v>185</x:v>
      </x:c>
      <x:c r="H17" s="91" t="n">
        <x:f>E17-D17</x:f>
        <x:v>127</x:v>
      </x:c>
      <x:c r="I17" s="91" t="n">
        <x:f>F17-D17</x:f>
        <x:v>312</x:v>
      </x:c>
      <x:c r="J17" s="91" t="n">
        <x:v>189</x:v>
      </x:c>
      <x:c r="K17" s="90" t="str">
        <x:v>P0 2월 구형/9월 ME 기기 감사</x:v>
      </x:c>
      <x:c r="L17" s="90" t="str">
        <x:v>실측893·피크6 vs 9월 ME4. 50kW/100kW 멀티 구형 설비 9월 API와 일부 미대응.</x:v>
      </x:c>
      <x:c r="M17" s="90" t="str">
        <x:v>ME=1,020, ALL=1,205. ME 편향 +127건, 장비 신원은 미확정.</x:v>
      </x:c>
      <x:c r="N17" s="90" t="str">
        <x:v>기존 P0 6종 서명 및 운영사 2월 월간 중첩 이력 재사용</x:v>
      </x:c>
      <x:c r="O17" s="90" t="str">
        <x:v>sp3_64_p0_crosswalk_gap_conclusion_20261011.md</x:v>
      </x:c>
      <x:c r="P17" s="90" t="str">
        <x:v>구형/신형 대응 일부 검증 / 물리 운영사 불명</x:v>
      </x:c>
    </x:row>
    <x:row r="18" ht="58" customHeight="1">
      <x:c r="A18" t="n">
        <x:v>17</x:v>
      </x:c>
      <x:c r="B18" t="str">
        <x:v>DOWN</x:v>
      </x:c>
      <x:c r="C18" t="str">
        <x:v>옥산휴게소</x:v>
      </x:c>
      <x:c r="D18" s="91" t="n">
        <x:v>344</x:v>
      </x:c>
      <x:c r="E18" s="91" t="n">
        <x:v>517</x:v>
      </x:c>
      <x:c r="F18" s="91" t="n">
        <x:v>611</x:v>
      </x:c>
      <x:c r="G18" s="91" t="n">
        <x:f>F18-E18</x:f>
        <x:v>94</x:v>
      </x:c>
      <x:c r="H18" s="91" t="n">
        <x:f>E18-D18</x:f>
        <x:v>173</x:v>
      </x:c>
      <x:c r="I18" s="91" t="n">
        <x:f>F18-D18</x:f>
        <x:v>267</x:v>
      </x:c>
      <x:c r="J18" s="91" t="n">
        <x:v>185</x:v>
      </x:c>
      <x:c r="K18" s="90" t="str">
        <x:v>기존 지점 특화 분석 없음</x:v>
      </x:c>
      <x:c r="L18" s="90" t="str">
        <x:v>이번 10일 집계 전에는 지점별 원인 검증 기록을 확보하지 못함.</x:v>
      </x:c>
      <x:c r="M18" s="90" t="str">
        <x:v>실측/모델 비교만 확인됨.</x:v>
      </x:c>
      <x:c r="N18" s="90" t="str">
        <x:v>기존 원자료 내 운영사·선택/출력 확인 후 원인 분해가 필요하면 진행.</x:v>
      </x:c>
      <x:c r="O18" s="90" t="str">
        <x:v>compare20_v1/04_station_10day_metrics.csv</x:v>
      </x:c>
      <x:c r="P18" s="90" t="str">
        <x:v>오차만 확인 / 원인 미확정</x:v>
      </x:c>
    </x:row>
    <x:row r="19" ht="58" customHeight="1">
      <x:c r="A19" t="n">
        <x:v>18</x:v>
      </x:c>
      <x:c r="B19" t="str">
        <x:v>DOWN</x:v>
      </x:c>
      <x:c r="C19" t="str">
        <x:v>서울하이패스센터쉼터</x:v>
      </x:c>
      <x:c r="D19" s="91" t="n">
        <x:v>176</x:v>
      </x:c>
      <x:c r="E19" s="91" t="n">
        <x:v>14</x:v>
      </x:c>
      <x:c r="F19" s="91" t="n">
        <x:v>14</x:v>
      </x:c>
      <x:c r="G19" s="91" t="n">
        <x:f>F19-E19</x:f>
        <x:v>0</x:v>
      </x:c>
      <x:c r="H19" s="91" t="n">
        <x:f>E19-D19</x:f>
        <x:v>-162</x:v>
      </x:c>
      <x:c r="I19" s="91" t="n">
        <x:f>F19-D19</x:f>
        <x:v>-162</x:v>
      </x:c>
      <x:c r="J19" s="91" t="n">
        <x:v>162</x:v>
      </x:c>
      <x:c r="K19" s="90" t="str">
        <x:v>P0 300kW 과거 장비/피크 조사</x:v>
      </x:c>
      <x:c r="L19" s="90" t="str">
        <x:v>실측176·피크2 vs 9월 ME1·BASE1. 300kW 81번 표시ID 및 2월 신원 미확정.</x:v>
      </x:c>
      <x:c r="M19" s="90" t="str">
        <x:v>ME=ALL=14로 시작 크게 부족. 공급 1슬롯만의 문제로 단정 불가.</x:v>
      </x:c>
      <x:c r="N19" s="90" t="str">
        <x:v>기존 300kW 서명 확인 결과를 사용하고 정책별 배정 영향은 별개</x:v>
      </x:c>
      <x:c r="O19" s="90" t="str">
        <x:v>sp3_64_p0_10sites_integration_report_20261011.md</x:v>
      </x:c>
      <x:c r="P19" s="90" t="str">
        <x:v>실측 피크 확인 / 실제 기기 미확정</x:v>
      </x:c>
    </x:row>
    <x:row r="20" ht="58" customHeight="1">
      <x:c r="A20" t="n">
        <x:v>19</x:v>
      </x:c>
      <x:c r="B20" t="str">
        <x:v>UP</x:v>
      </x:c>
      <x:c r="C20" t="str">
        <x:v>양산휴게소</x:v>
      </x:c>
      <x:c r="D20" s="91" t="n">
        <x:v>140</x:v>
      </x:c>
      <x:c r="E20" s="91" t="n">
        <x:v>0</x:v>
      </x:c>
      <x:c r="F20" s="91" t="n">
        <x:v>310</x:v>
      </x:c>
      <x:c r="G20" s="91" t="n">
        <x:f>F20-E20</x:f>
        <x:v>310</x:v>
      </x:c>
      <x:c r="H20" s="91" t="n">
        <x:f>E20-D20</x:f>
        <x:v>-140</x:v>
      </x:c>
      <x:c r="I20" s="91" t="n">
        <x:f>F20-D20</x:f>
        <x:v>170</x:v>
      </x:c>
      <x:c r="J20" s="91" t="n">
        <x:v>140</x:v>
      </x:c>
      <x:c r="K20" s="90" t="str">
        <x:v>P0 2월/9월 운영사 비교</x:v>
      </x:c>
      <x:c r="L20" s="90" t="str">
        <x:v>2월 동시 4세션, 100kW 두 채널+200kW 동시 두 채널. 9월 ME0/KP4, 19서명 중 비ME2·일치없음2.</x:v>
      </x:c>
      <x:c r="M20" s="90" t="str">
        <x:v>ME=0, ALL=310. 실측 양수를 9월 ME0과 비교해 2월 미사용 또는 미가동으로 판단 불가.</x:v>
      </x:c>
      <x:c r="N20" s="90" t="str">
        <x:v>기존 P0 2월 서명 기록 재활용; 2월 사업자 변경/소유 이력은 별도 자료만으로 확정 가능</x:v>
      </x:c>
      <x:c r="O20" s="90" t="str">
        <x:v>sp3_64_p0_10sites_integration_report_20261011.md; sp3_64_p0_crosswalk_gap_conclusion_20261011.md</x:v>
      </x:c>
      <x:c r="P20" s="90" t="str">
        <x:v>과거/현재 미일치 확인 / 운영주체 불명</x:v>
      </x:c>
    </x:row>
    <x:row r="21" ht="58" customHeight="1">
      <x:c r="A21" t="n">
        <x:v>20</x:v>
      </x:c>
      <x:c r="B21" t="str">
        <x:v>UP</x:v>
      </x:c>
      <x:c r="C21" t="str">
        <x:v>황간휴게소</x:v>
      </x:c>
      <x:c r="D21" s="91" t="n">
        <x:v>359</x:v>
      </x:c>
      <x:c r="E21" s="91" t="n">
        <x:v>446</x:v>
      </x:c>
      <x:c r="F21" s="91" t="n">
        <x:v>446</x:v>
      </x:c>
      <x:c r="G21" s="91" t="n">
        <x:f>F21-E21</x:f>
        <x:v>0</x:v>
      </x:c>
      <x:c r="H21" s="91" t="n">
        <x:f>E21-D21</x:f>
        <x:v>87</x:v>
      </x:c>
      <x:c r="I21" s="91" t="n">
        <x:f>F21-D21</x:f>
        <x:v>87</x:v>
      </x:c>
      <x:c r="J21" s="91" t="n">
        <x:v>119</x:v>
      </x:c>
      <x:c r="K21" s="90" t="str">
        <x:v>기존 지점 특화 분석 없음</x:v>
      </x:c>
      <x:c r="L21" s="90" t="str">
        <x:v>이번 10일 집계 전에는 지점별 원인 검증 기록을 확보하지 못함.</x:v>
      </x:c>
      <x:c r="M21" s="90" t="str">
        <x:v>실측/모델 비교만 확인됨.</x:v>
      </x:c>
      <x:c r="N21" s="90" t="str">
        <x:v>기존 원자료 내 운영사·선택/출력 확인 후 원인 분해가 필요하면 진행.</x:v>
      </x:c>
      <x:c r="O21" s="90" t="str">
        <x:v>compare20_v1/04_station_10day_metrics.csv</x:v>
      </x:c>
      <x:c r="P21" s="90" t="str">
        <x:v>오차만 확인 / 원인 미확정</x:v>
      </x:c>
    </x:row>
    <x:row r="22" ht="58" customHeight="1">
      <x:c r="A22" t="n">
        <x:v>21</x:v>
      </x:c>
      <x:c r="B22" t="str">
        <x:v>UP</x:v>
      </x:c>
      <x:c r="C22" t="str">
        <x:v>입장거봉포도휴게소</x:v>
      </x:c>
      <x:c r="D22" s="91" t="n">
        <x:v>467</x:v>
      </x:c>
      <x:c r="E22" s="91" t="n">
        <x:v>513</x:v>
      </x:c>
      <x:c r="F22" s="91" t="n">
        <x:v>513</x:v>
      </x:c>
      <x:c r="G22" s="91" t="n">
        <x:f>F22-E22</x:f>
        <x:v>0</x:v>
      </x:c>
      <x:c r="H22" s="91" t="n">
        <x:f>E22-D22</x:f>
        <x:v>46</x:v>
      </x:c>
      <x:c r="I22" s="91" t="n">
        <x:f>F22-D22</x:f>
        <x:v>46</x:v>
      </x:c>
      <x:c r="J22" s="91" t="n">
        <x:v>104</x:v>
      </x:c>
      <x:c r="K22" s="90" t="str">
        <x:v>기존 지점 특화 분석 없음</x:v>
      </x:c>
      <x:c r="L22" s="90" t="str">
        <x:v>이번 10일 집계 전에는 지점별 원인 검증 기록을 확보하지 못함.</x:v>
      </x:c>
      <x:c r="M22" s="90" t="str">
        <x:v>실측/모델 비교만 확인됨.</x:v>
      </x:c>
      <x:c r="N22" s="90" t="str">
        <x:v>기존 원자료 내 운영사·선택/출력 확인 후 원인 분해가 필요하면 진행.</x:v>
      </x:c>
      <x:c r="O22" s="90" t="str">
        <x:v>compare20_v1/04_station_10day_metrics.csv</x:v>
      </x:c>
      <x:c r="P22" s="90" t="str">
        <x:v>오차만 확인 / 원인 미확정</x:v>
      </x:c>
    </x:row>
    <x:row r="23" ht="58" customHeight="1">
      <x:c r="A23" t="n">
        <x:v>22</x:v>
      </x:c>
      <x:c r="B23" t="str">
        <x:v>DOWN</x:v>
      </x:c>
      <x:c r="C23" t="str">
        <x:v>김천휴게소</x:v>
      </x:c>
      <x:c r="D23" s="91" t="n">
        <x:v>382</x:v>
      </x:c>
      <x:c r="E23" s="91" t="n">
        <x:v>333</x:v>
      </x:c>
      <x:c r="F23" s="91" t="n">
        <x:v>333</x:v>
      </x:c>
      <x:c r="G23" s="91" t="n">
        <x:f>F23-E23</x:f>
        <x:v>0</x:v>
      </x:c>
      <x:c r="H23" s="91" t="n">
        <x:f>E23-D23</x:f>
        <x:v>-49</x:v>
      </x:c>
      <x:c r="I23" s="91" t="n">
        <x:f>F23-D23</x:f>
        <x:v>-49</x:v>
      </x:c>
      <x:c r="J23" s="91" t="n">
        <x:v>99</x:v>
      </x:c>
      <x:c r="K23" s="90" t="str">
        <x:v>기존 지점 특화 분석 없음</x:v>
      </x:c>
      <x:c r="L23" s="90" t="str">
        <x:v>이번 10일 집계 전에는 지점별 원인 검증 기록을 확보하지 못함.</x:v>
      </x:c>
      <x:c r="M23" s="90" t="str">
        <x:v>실측/모델 비교만 확인됨.</x:v>
      </x:c>
      <x:c r="N23" s="90" t="str">
        <x:v>기존 원자료 내 운영사·선택/출력 확인 후 원인 분해가 필요하면 진행.</x:v>
      </x:c>
      <x:c r="O23" s="90" t="str">
        <x:v>compare20_v1/04_station_10day_metrics.csv</x:v>
      </x:c>
      <x:c r="P23" s="90" t="str">
        <x:v>오차만 확인 / 원인 미확정</x:v>
      </x:c>
    </x:row>
    <x:row r="24" ht="58" customHeight="1">
      <x:c r="A24" t="n">
        <x:v>23</x:v>
      </x:c>
      <x:c r="B24" t="str">
        <x:v>DOWN</x:v>
      </x:c>
      <x:c r="C24" t="str">
        <x:v>서울만남휴게소</x:v>
      </x:c>
      <x:c r="D24" s="91" t="n">
        <x:v>107</x:v>
      </x:c>
      <x:c r="E24" s="91" t="n">
        <x:v>18</x:v>
      </x:c>
      <x:c r="F24" s="91" t="n">
        <x:v>2342</x:v>
      </x:c>
      <x:c r="G24" s="91" t="n">
        <x:f>F24-E24</x:f>
        <x:v>2324</x:v>
      </x:c>
      <x:c r="H24" s="91" t="n">
        <x:f>E24-D24</x:f>
        <x:v>-89</x:v>
      </x:c>
      <x:c r="I24" s="91" t="n">
        <x:f>F24-D24</x:f>
        <x:v>2235</x:v>
      </x:c>
      <x:c r="J24" s="91" t="n">
        <x:v>89</x:v>
      </x:c>
      <x:c r="K24" s="90" t="str">
        <x:v>기존 지점 특화 분석 없음</x:v>
      </x:c>
      <x:c r="L24" s="90" t="str">
        <x:v>이번 10일 집계 전에는 지점별 원인 검증 기록을 확보하지 못함.</x:v>
      </x:c>
      <x:c r="M24" s="90" t="str">
        <x:v>실측/모델 비교만 확인됨.</x:v>
      </x:c>
      <x:c r="N24" s="90" t="str">
        <x:v>기존 원자료 내 운영사·선택/출력 확인 후 원인 분해가 필요하면 진행.</x:v>
      </x:c>
      <x:c r="O24" s="90" t="str">
        <x:v>compare20_v1/04_station_10day_metrics.csv</x:v>
      </x:c>
      <x:c r="P24" s="90" t="str">
        <x:v>오차만 확인 / 원인 미확정</x:v>
      </x:c>
    </x:row>
    <x:row r="25" ht="58" customHeight="1">
      <x:c r="A25" t="n">
        <x:v>24</x:v>
      </x:c>
      <x:c r="B25" t="str">
        <x:v>DOWN</x:v>
      </x:c>
      <x:c r="C25" t="str">
        <x:v>기흥휴게소</x:v>
      </x:c>
      <x:c r="D25" s="91" t="n">
        <x:v>85</x:v>
      </x:c>
      <x:c r="E25" s="91" t="n">
        <x:v>0</x:v>
      </x:c>
      <x:c r="F25" s="91" t="n">
        <x:v>1312</x:v>
      </x:c>
      <x:c r="G25" s="91" t="n">
        <x:f>F25-E25</x:f>
        <x:v>1312</x:v>
      </x:c>
      <x:c r="H25" s="91" t="n">
        <x:f>E25-D25</x:f>
        <x:v>-85</x:v>
      </x:c>
      <x:c r="I25" s="91" t="n">
        <x:f>F25-D25</x:f>
        <x:v>1227</x:v>
      </x:c>
      <x:c r="J25" s="91" t="n">
        <x:v>85</x:v>
      </x:c>
      <x:c r="K25" s="90" t="str">
        <x:v>기존 지점 특화 분석 없음</x:v>
      </x:c>
      <x:c r="L25" s="90" t="str">
        <x:v>이번 10일 집계 전에는 지점별 원인 검증 기록을 확보하지 못함.</x:v>
      </x:c>
      <x:c r="M25" s="90" t="str">
        <x:v>실측/모델 비교만 확인됨.</x:v>
      </x:c>
      <x:c r="N25" s="90" t="str">
        <x:v>기존 원자료 내 운영사·선택/출력 확인 후 원인 분해가 필요하면 진행.</x:v>
      </x:c>
      <x:c r="O25" s="90" t="str">
        <x:v>compare20_v1/04_station_10day_metrics.csv</x:v>
      </x:c>
      <x:c r="P25" s="90" t="str">
        <x:v>오차만 확인 / 원인 미확정</x:v>
      </x:c>
    </x:row>
    <x:row r="26" ht="58" customHeight="1">
      <x:c r="A26" t="n">
        <x:v>25</x:v>
      </x:c>
      <x:c r="B26" t="str">
        <x:v>UP</x:v>
      </x:c>
      <x:c r="C26" t="str">
        <x:v>경산휴게소</x:v>
      </x:c>
      <x:c r="D26" s="91" t="n">
        <x:v>387</x:v>
      </x:c>
      <x:c r="E26" s="91" t="n">
        <x:v>415</x:v>
      </x:c>
      <x:c r="F26" s="91" t="n">
        <x:v>415</x:v>
      </x:c>
      <x:c r="G26" s="91" t="n">
        <x:f>F26-E26</x:f>
        <x:v>0</x:v>
      </x:c>
      <x:c r="H26" s="91" t="n">
        <x:f>E26-D26</x:f>
        <x:v>28</x:v>
      </x:c>
      <x:c r="I26" s="91" t="n">
        <x:f>F26-D26</x:f>
        <x:v>28</x:v>
      </x:c>
      <x:c r="J26" s="91" t="n">
        <x:v>76</x:v>
      </x:c>
      <x:c r="K26" s="90" t="str">
        <x:v>P0 과거 장비 서명/피크 조사</x:v>
      </x:c>
      <x:c r="L26" s="90" t="str">
        <x:v>실측387·피크4 vs 9월 ME3·BASE3. 구형 50kW·100kW 멀티 장비 대응 확인 필요.</x:v>
      </x:c>
      <x:c r="M26" s="90" t="str">
        <x:v>ME=ALL=415. 시작 총량은 근접하더라도 시간별/충전시간 오차는 별도.</x:v>
      </x:c>
      <x:c r="N26" s="90" t="str">
        <x:v>기존 이력 재사용. 무리한 +1 공급 보정은 보류</x:v>
      </x:c>
      <x:c r="O26" s="90" t="str">
        <x:v>sp3_64_p0_10sites_integration_report_20261011.md; SUPPLY_AND_VALIDATION_FINAL_20261012.md</x:v>
      </x:c>
      <x:c r="P26" s="90" t="str">
        <x:v>구형 서명 존재 / 슬롯 확정 아님</x:v>
      </x:c>
    </x:row>
    <x:row r="27" ht="58" customHeight="1">
      <x:c r="A27" t="n">
        <x:v>26</x:v>
      </x:c>
      <x:c r="B27" t="str">
        <x:v>UP</x:v>
      </x:c>
      <x:c r="C27" t="str">
        <x:v>김천휴게소</x:v>
      </x:c>
      <x:c r="D27" s="91" t="n">
        <x:v>86</x:v>
      </x:c>
      <x:c r="E27" s="91" t="n">
        <x:v>14</x:v>
      </x:c>
      <x:c r="F27" s="91" t="n">
        <x:v>860</x:v>
      </x:c>
      <x:c r="G27" s="91" t="n">
        <x:f>F27-E27</x:f>
        <x:v>846</x:v>
      </x:c>
      <x:c r="H27" s="91" t="n">
        <x:f>E27-D27</x:f>
        <x:v>-72</x:v>
      </x:c>
      <x:c r="I27" s="91" t="n">
        <x:f>F27-D27</x:f>
        <x:v>774</x:v>
      </x:c>
      <x:c r="J27" s="91" t="n">
        <x:v>72</x:v>
      </x:c>
      <x:c r="K27" s="90" t="str">
        <x:v>기존 지점 특화 분석 없음</x:v>
      </x:c>
      <x:c r="L27" s="90" t="str">
        <x:v>이번 10일 집계 전에는 지점별 원인 검증 기록을 확보하지 못함.</x:v>
      </x:c>
      <x:c r="M27" s="90" t="str">
        <x:v>실측/모델 비교만 확인됨.</x:v>
      </x:c>
      <x:c r="N27" s="90" t="str">
        <x:v>기존 원자료 내 운영사·선택/출력 확인 후 원인 분해가 필요하면 진행.</x:v>
      </x:c>
      <x:c r="O27" s="90" t="str">
        <x:v>compare20_v1/04_station_10day_metrics.csv</x:v>
      </x:c>
      <x:c r="P27" s="90" t="str">
        <x:v>오차만 확인 / 원인 미확정</x:v>
      </x:c>
    </x:row>
    <x:row r="28" ht="58" customHeight="1">
      <x:c r="A28" t="n">
        <x:v>27</x:v>
      </x:c>
      <x:c r="B28" t="str">
        <x:v>DOWN</x:v>
      </x:c>
      <x:c r="C28" t="str">
        <x:v>옥천휴게소</x:v>
      </x:c>
      <x:c r="D28" s="91" t="n">
        <x:v>73</x:v>
      </x:c>
      <x:c r="E28" s="91" t="n">
        <x:v>13</x:v>
      </x:c>
      <x:c r="F28" s="91" t="n">
        <x:v>1657</x:v>
      </x:c>
      <x:c r="G28" s="91" t="n">
        <x:f>F28-E28</x:f>
        <x:v>1644</x:v>
      </x:c>
      <x:c r="H28" s="91" t="n">
        <x:f>E28-D28</x:f>
        <x:v>-60</x:v>
      </x:c>
      <x:c r="I28" s="91" t="n">
        <x:f>F28-D28</x:f>
        <x:v>1584</x:v>
      </x:c>
      <x:c r="J28" s="91" t="n">
        <x:v>60</x:v>
      </x:c>
      <x:c r="K28" s="90" t="str">
        <x:v>기존 지점 특화 분석 없음</x:v>
      </x:c>
      <x:c r="L28" s="90" t="str">
        <x:v>이번 10일 집계 전에는 지점별 원인 검증 기록을 확보하지 못함.</x:v>
      </x:c>
      <x:c r="M28" s="90" t="str">
        <x:v>실측/모델 비교만 확인됨.</x:v>
      </x:c>
      <x:c r="N28" s="90" t="str">
        <x:v>기존 원자료 내 운영사·선택/출력 확인 후 원인 분해가 필요하면 진행.</x:v>
      </x:c>
      <x:c r="O28" s="90" t="str">
        <x:v>compare20_v1/04_station_10day_metrics.csv</x:v>
      </x:c>
      <x:c r="P28" s="90" t="str">
        <x:v>오차만 확인 / 원인 미확정</x:v>
      </x:c>
    </x:row>
    <x:row r="29" ht="58" customHeight="1">
      <x:c r="A29" t="n">
        <x:v>28</x:v>
      </x:c>
      <x:c r="B29" t="str">
        <x:v>UP</x:v>
      </x:c>
      <x:c r="C29" t="str">
        <x:v>언양휴게소</x:v>
      </x:c>
      <x:c r="D29" s="91" t="n">
        <x:v>53</x:v>
      </x:c>
      <x:c r="E29" s="91" t="n">
        <x:v>84</x:v>
      </x:c>
      <x:c r="F29" s="91" t="n">
        <x:v>3047</x:v>
      </x:c>
      <x:c r="G29" s="91" t="n">
        <x:f>F29-E29</x:f>
        <x:v>2963</x:v>
      </x:c>
      <x:c r="H29" s="91" t="n">
        <x:f>E29-D29</x:f>
        <x:v>31</x:v>
      </x:c>
      <x:c r="I29" s="91" t="n">
        <x:f>F29-D29</x:f>
        <x:v>2994</x:v>
      </x:c>
      <x:c r="J29" s="91" t="n">
        <x:v>47</x:v>
      </x:c>
      <x:c r="K29" s="90" t="str">
        <x:v>기존 지점 특화 분석 없음</x:v>
      </x:c>
      <x:c r="L29" s="90" t="str">
        <x:v>이번 10일 집계 전에는 지점별 원인 검증 기록을 확보하지 못함.</x:v>
      </x:c>
      <x:c r="M29" s="90" t="str">
        <x:v>실측/모델 비교만 확인됨.</x:v>
      </x:c>
      <x:c r="N29" s="90" t="str">
        <x:v>기존 원자료 내 운영사·선택/출력 확인 후 원인 분해가 필요하면 진행.</x:v>
      </x:c>
      <x:c r="O29" s="90" t="str">
        <x:v>compare20_v1/04_station_10day_metrics.csv</x:v>
      </x:c>
      <x:c r="P29" s="90" t="str">
        <x:v>오차만 확인 / 원인 미확정</x:v>
      </x:c>
    </x:row>
    <x:row r="30" ht="58" customHeight="1">
      <x:c r="A30" t="n">
        <x:v>29</x:v>
      </x:c>
      <x:c r="B30" t="str">
        <x:v>DOWN</x:v>
      </x:c>
      <x:c r="C30" t="str">
        <x:v>옥천만남휴게소</x:v>
      </x:c>
      <x:c r="D30" s="91" t="n">
        <x:v>6</x:v>
      </x:c>
      <x:c r="E30" s="91" t="n">
        <x:v>0</x:v>
      </x:c>
      <x:c r="F30" s="91" t="n">
        <x:v>0</x:v>
      </x:c>
      <x:c r="G30" s="91" t="n">
        <x:f>F30-E30</x:f>
        <x:v>0</x:v>
      </x:c>
      <x:c r="H30" s="91" t="n">
        <x:f>E30-D30</x:f>
        <x:v>-6</x:v>
      </x:c>
      <x:c r="I30" s="91" t="n">
        <x:f>F30-D30</x:f>
        <x:v>-6</x:v>
      </x:c>
      <x:c r="J30" s="91" t="n">
        <x:v>6</x:v>
      </x:c>
      <x:c r="K30" s="90" t="str">
        <x:v>기존 지점 특화 분석 없음</x:v>
      </x:c>
      <x:c r="L30" s="90" t="str">
        <x:v>이번 10일 집계 전에는 지점별 원인 검증 기록을 확보하지 못함.</x:v>
      </x:c>
      <x:c r="M30" s="90" t="str">
        <x:v>실측/모델 비교만 확인됨.</x:v>
      </x:c>
      <x:c r="N30" s="90" t="str">
        <x:v>기존 원자료 내 운영사·선택/출력 확인 후 원인 분해가 필요하면 진행.</x:v>
      </x:c>
      <x:c r="O30" s="90" t="str">
        <x:v>compare20_v1/04_station_10day_metrics.csv</x:v>
      </x:c>
      <x:c r="P30" s="90" t="str">
        <x:v>오차만 확인 / 원인 미확정</x:v>
      </x:c>
    </x:row>
  </x:sheetData>
  <x:conditionalFormatting sqref="H2:I30">
    <x:cfRule type="cellIs" dxfId="0" priority="1" operator="lessThan">
      <x:formula>0</x:formula>
    </x:cfRule>
  </x:conditionalFormatting>
  <x:conditionalFormatting sqref="J2:J30">
    <x:cfRule type="dataBar" priority="2">
      <x:dataBar>
        <x:cfvo type="min"/>
        <x:cfvo type="max"/>
        <x:color rgb="FFDAA520"/>
      </x:dataBar>
      <x:extLst>
        <x:ext xmlns:x14="http://schemas.microsoft.com/office/spreadsheetml/2009/9/main" uri="{B025F937-C7B1-47D3-B67F-A62EFF666E3E}">
          <x14:id>{535CCC00-B36E-34B1-E7EE-C505C2D9D2F5}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535CCC00-B36E-34B1-E7EE-C505C2D9D2F5}">
            <x14:dataBar gradient="1">
              <x14:cfvo type="min"/>
              <x14:cfvo type="max"/>
              <x14:fillColor rgb="FFDAA520"/>
            </x14:dataBar>
          </x14:cfRule>
          <xm:sqref>J2:J30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1" hidden="0" customWidth="1"/>
    <x:col min="3" max="3" width="63" hidden="0" customWidth="1"/>
    <x:col min="4" max="4" width="58" hidden="0" customWidth="1"/>
    <x:col min="5" max="5" width="58" hidden="0" customWidth="1"/>
    <x:col min="6" max="6" width="58" hidden="0" customWidth="1"/>
    <x:col min="7" max="7" width="53" hidden="0" customWidth="1"/>
  </x:cols>
  <x:sheetData>
    <x:row r="1" ht="29" customHeight="1">
      <x:c r="A1" s="88" t="str">
        <x:v>검증 레이어</x:v>
      </x:c>
      <x:c r="B1" s="88" t="str">
        <x:v>대표 지점</x:v>
      </x:c>
      <x:c r="C1" s="88" t="str">
        <x:v>이전 검증 기록</x:v>
      </x:c>
      <x:c r="D1" s="88" t="str">
        <x:v>이번 10일 데이터에서 나타난 현상</x:v>
      </x:c>
      <x:c r="E1" s="88" t="str">
        <x:v>현재 판정</x:v>
      </x:c>
      <x:c r="F1" s="88" t="str">
        <x:v>추가 조사 기준</x:v>
      </x:c>
      <x:c r="G1" s="88" t="str">
        <x:v>근거</x:v>
      </x:c>
    </x:row>
    <x:row r="2" ht="76" customHeight="1">
      <x:c r="A2" s="90" t="str">
        <x:v>모델 내부 선택 비용</x:v>
      </x:c>
      <x:c r="B2" s="90" t="str">
        <x:v>UP 죽전</x:v>
      </x:c>
      <x:c r="C2" s="90" t="str">
        <x:v>UP 2/17 후보 441 → 선택 0; 안성 우위 233 / 죽전 우위 2 / 동률 206</x:v>
      </x:c>
      <x:c r="D2" s="90" t="str">
        <x:v>실측 724 / ME 29 / ALL 29</x:v>
      </x:c>
      <x:c r="E2" s="90" t="str">
        <x:v>기존 내부 선택 메커니즘 확인; 10일 인과 추정은 보류</x:v>
      </x:c>
      <x:c r="F2" s="90" t="str">
        <x:v>10일 전반의 원인 기여분 필요할 때만 UE 이벤트 재분해</x:v>
      </x:c>
      <x:c r="G2" s="90" t="str">
        <x:v>ISSUE_64_CLOSEOUT_DRAFT.md §3</x:v>
      </x:c>
    </x:row>
    <x:row r="3" ht="76" customHeight="1">
      <x:c r="A3" s="90" t="str">
        <x:v>모델 내부 선택 비용</x:v>
      </x:c>
      <x:c r="B3" s="90" t="str">
        <x:v>UP 죽암</x:v>
      </x:c>
      <x:c r="C3" s="90" t="str">
        <x:v>UP 2/17 후보 480 → 선택 2; 미선택 478 중 370은 다른 계획이 1.01분 이상 유리</x:v>
      </x:c>
      <x:c r="D3" s="90" t="str">
        <x:v>실측 733 / ME 11 / ALL 11</x:v>
      </x:c>
      <x:c r="E3" s="90" t="str">
        <x:v>운영사 필터로 해명 불가; 기존 선택편중 증거 연결</x:v>
      </x:c>
      <x:c r="F3" s="90" t="str">
        <x:v>10일 요약에 기존 메커니즘 증거로 주석</x:v>
      </x:c>
      <x:c r="G3" s="90" t="str">
        <x:v>ISSUE_64_CLOSEOUT_DRAFT.md §3</x:v>
      </x:c>
    </x:row>
    <x:row r="4" ht="76" customHeight="1">
      <x:c r="A4" s="90" t="str">
        <x:v>운영사 대리 매핑</x:v>
      </x:c>
      <x:c r="B4" s="90" t="str">
        <x:v>UP 안성</x:v>
      </x:c>
      <x:c r="C4" s="90" t="str">
        <x:v>260kW 4가상슬롯에 281건 집중, 200kW ME 3건, MAX_POWER_IDLE 내부 규칙 일치</x:v>
      </x:c>
      <x:c r="D4" s="90" t="str">
        <x:v>실측 480 / ME 6 / ALL 2406</x:v>
      </x:c>
      <x:c r="E4" s="90" t="str">
        <x:v>ME/ALL 비교 방향 반전; 실제 사업자 선호 단정 불가</x:v>
      </x:c>
      <x:c r="F4" s="90" t="str">
        <x:v>2월 실제 사업자·장비 동일성 확인 전 합격판정 보류</x:v>
      </x:c>
      <x:c r="G4" s="90" t="str">
        <x:v>ISSUE_64_CLOSEOUT_DRAFT.md §3</x:v>
      </x:c>
    </x:row>
    <x:row r="5" ht="76" customHeight="1">
      <x:c r="A5" s="90" t="str">
        <x:v>실측 2월 장비 감사</x:v>
      </x:c>
      <x:c r="B5" s="90" t="str">
        <x:v>DOWN 칠곡</x:v>
      </x:c>
      <x:c r="C5" s="90" t="str">
        <x:v>실측 서명 50kW 동일 주소·ID 중첩 27쌍, 9월 ME3</x:v>
      </x:c>
      <x:c r="D5" s="90" t="str">
        <x:v>실측 1073 / ME 106 / ALL 2396</x:v>
      </x:c>
      <x:c r="E5" s="90" t="str">
        <x:v>사업자 필터와 사양/기기 신원 불일치 모두 중요</x:v>
      </x:c>
      <x:c r="F5" s="90" t="str">
        <x:v>재수집 대신 과거 P0 45서명 대조표 활용</x:v>
      </x:c>
      <x:c r="G5" s="90" t="str">
        <x:v>P0_10곳 통합·교차대조 보고서</x:v>
      </x:c>
    </x:row>
    <x:row r="6" ht="76" customHeight="1">
      <x:c r="A6" s="90" t="str">
        <x:v>실측 2월 사업자 불일치</x:v>
      </x:c>
      <x:c r="B6" s="90" t="str">
        <x:v>UP 양산 / DOWN 통도사</x:v>
      </x:c>
      <x:c r="C6" s="90" t="str">
        <x:v>양산 9월 ME0/KP4·2월 충전 140; 통도사 2월 50kW 205시작·9월 ME0</x:v>
      </x:c>
      <x:c r="D6" s="90" t="str">
        <x:v>양산 ME0/ALL310, 통도사 ME0/ALL58</x:v>
      </x:c>
      <x:c r="E6" s="90" t="str">
        <x:v>ME 0 = 실측 0이 아님; 9월 사업자 ≠ 2월 사업자</x:v>
      </x:c>
      <x:c r="F6" s="90" t="str">
        <x:v>2월 운영사 확정자료가 확보될 경우에만 재분류</x:v>
      </x:c>
      <x:c r="G6" s="90" t="str">
        <x:v>P0_10곳 통합보고서</x:v>
      </x:c>
    </x:row>
    <x:row r="7" ht="76" customHeight="1">
      <x:c r="A7" s="90" t="str">
        <x:v>고정된 공급 가정</x:v>
      </x:c>
      <x:c r="B7" s="90" t="str">
        <x:v>DOWN 평사 / UP 건천·죽암</x:v>
      </x:c>
      <x:c r="C7" s="90" t="str">
        <x:v>10일 최대 동시 세션이 9월 BASE보다 1~2 높음; +6은 PEAK221 미채택</x:v>
      </x:c>
      <x:c r="D7" s="90" t="str">
        <x:v>평사는 ME/ALL 1596으로 과대; 죽암은 11로 과소</x:v>
      </x:c>
      <x:c r="E7" s="90" t="str">
        <x:v>실측 피크로 215를 임의 조정하지 않음</x:v>
      </x:c>
      <x:c r="F7" s="90" t="str">
        <x:v>215 고정; 공급 민감도는 #64 범위 밖</x:v>
      </x:c>
      <x:c r="G7" s="90" t="str">
        <x:v>SUPPLY_AND_VALIDATION_FINAL_20261012.md</x:v>
      </x:c>
    </x:row>
    <x:row r="8" ht="76" customHeight="1">
      <x:c r="A8" s="90" t="str">
        <x:v>충전시간/충전량</x:v>
      </x:c>
      <x:c r="B8" s="90" t="str">
        <x:v>전체 + 과거 사례</x:v>
      </x:c>
      <x:c r="C8" s="90" t="str">
        <x:v>10일 점유/시작 참고비율 실측 27.05분 vs 모델 ME 12.69분; 과거 특정 2/13 사례 23.4 vs 10.6분</x:v>
      </x:c>
      <x:c r="D8" s="90" t="str">
        <x:v>모델 점유시간 5,141.3h → 1,779.6h (−65.39%)</x:v>
      </x:c>
      <x:c r="E8" s="90" t="str">
        <x:v>점유 부족은 관측됨; 동일 모집단·행태/출력 기여 미분해</x:v>
      </x:c>
      <x:c r="F8" s="90" t="str">
        <x:v>과거 개별 이벤트 원자료 사업자·station_id 매핑 검산 후 원인 분해</x:v>
      </x:c>
      <x:c r="G8" s="90" t="str">
        <x:v>현재 10일 검증 + 과거 충전시간 조사 로그</x:v>
      </x:c>
    </x:row>
    <x:row r="9" ht="76" customHeight="1">
      <x:c r="A9" s="90" t="str">
        <x:v>실측 OD 및 충전 목표 SoC</x:v>
      </x:c>
      <x:c r="B9" s="90" t="str">
        <x:v>#99 / #112</x:v>
      </x:c>
      <x:c r="C9" s="90" t="str">
        <x:v>#99 OD 적용 통행거리 MAPE 53.0→8.1%; #112 이용률 12.4→31.6%</x:v>
      </x:c>
      <x:c r="D9" s="90" t="str">
        <x:v>이번 BASE215는 OD=null, habit_soc=0.0</x:v>
      </x:c>
      <x:c r="E9" s="90" t="str">
        <x:v>기존 #99/#112 개선값은 다른 실행·모집단; 이번 WAPE 감소로 표시 금지</x:v>
      </x:c>
      <x:c r="F9" s="90" t="str">
        <x:v>후속 독립 수요 시나리오. #100 외부 통행 누락 주의</x:v>
      </x:c>
      <x:c r="G9" s="90" t="str">
        <x:v>docs/od_destinations.md; #112</x:v>
      </x:c>
    </x:row>
    <x:row r="10" ht="76" customHeight="1">
      <x:c r="A10" s="90" t="str">
        <x:v>금강 추가 공급 후보</x:v>
      </x:c>
      <x:c r="B10" s="90" t="str">
        <x:v>DOWN 금강</x:v>
      </x:c>
      <x:c r="C10" s="90" t="str">
        <x:v>기존 선정 지점 11 이름 수정; 9월 에버온 EV011687 6레코드 후보 조사</x:v>
      </x:c>
      <x:c r="D10" s="90" t="str">
        <x:v>실측 265 / ME 13 / ALL 13</x:v>
      </x:c>
      <x:c r="E10" s="90" t="str">
        <x:v>6레코드는 2월 가동 확정 아니며 BASE215 미포함</x:v>
      </x:c>
      <x:c r="F10" s="90" t="str">
        <x:v>기존 9월 API year/위경도/본선 접근성 증거만 확인</x:v>
      </x:c>
      <x:c r="G10" s="90" t="str">
        <x:v>sp3_64_p0_crosswalk_gap_conclusion_20261011.md</x:v>
      </x:c>
    </x:row>
    <x:row r="11" ht="76" customHeight="1">
      <x:c r="A11" s="90"/>
      <x:c r="B11" s="90"/>
      <x:c r="C11" s="90"/>
      <x:c r="D11" s="90"/>
      <x:c r="E11" s="90"/>
      <x:c r="F11" s="90"/>
      <x:c r="G11" s="90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3" hidden="0" customWidth="1"/>
    <x:col min="3" max="3" width="53" hidden="0" customWidth="1"/>
    <x:col min="4" max="4" width="14" hidden="0" customWidth="1"/>
    <x:col min="5" max="5" width="14" hidden="0" customWidth="1"/>
    <x:col min="6" max="6" width="29" hidden="0" customWidth="1"/>
    <x:col min="7" max="7" width="52" hidden="0" customWidth="1"/>
    <x:col min="8" max="8" width="34" hidden="0" customWidth="1"/>
  </x:cols>
  <x:sheetData>
    <x:row r="1" ht="29" customHeight="1">
      <x:c r="A1" s="95" t="str">
        <x:v>구분</x:v>
      </x:c>
      <x:c r="B1" s="95" t="str">
        <x:v>9월 등록 레코드</x:v>
      </x:c>
      <x:c r="C1" s="95" t="str">
        <x:v>2026-02 조사근거</x:v>
      </x:c>
      <x:c r="D1" s="95" t="str">
        <x:v>BASE215 포함</x:v>
      </x:c>
      <x:c r="E1" s="95" t="str">
        <x:v>BASE215 제외</x:v>
      </x:c>
      <x:c r="F1" s="95" t="str">
        <x:v>판정 등급</x:v>
      </x:c>
      <x:c r="G1" s="95" t="str">
        <x:v>실제 2월 존재/가동 결론</x:v>
      </x:c>
      <x:c r="H1" s="95" t="str">
        <x:v>근거 문서</x:v>
      </x:c>
    </x:row>
    <x:row r="2" ht="60" customHeight="1">
      <x:c r="A2" s="90" t="str">
        <x:v>ME 등록 대리값</x:v>
      </x:c>
      <x:c r="B2" s="90" t="n">
        <x:v>95</x:v>
      </x:c>
      <x:c r="C2" s="90" t="str">
        <x:v>2월 실측 세션 있음(29개소), 9월 95개와 개별 ID 일치 미확정</x:v>
      </x:c>
      <x:c r="D2" s="90" t="n">
        <x:v>95</x:v>
      </x:c>
      <x:c r="E2" s="90" t="n">
        <x:v>0</x:v>
      </x:c>
      <x:c r="F2" s="90" t="str">
        <x:v>포함·개별 신원 미검증</x:v>
      </x:c>
      <x:c r="G2" s="90" t="str">
        <x:v>실제 95개 가동 확정 아님</x:v>
      </x:c>
      <x:c r="H2" s="90" t="str">
        <x:v>35site 공급표 / P0 신원 감사</x:v>
      </x:c>
    </x:row>
    <x:row r="3" ht="60" customHeight="1">
      <x:c r="A3" s="90" t="str">
        <x:v>설 이전 비ME 승용 후보</x:v>
      </x:c>
      <x:c r="B3" s="90" t="n">
        <x:v>120</x:v>
      </x:c>
      <x:c r="C3" s="90" t="str">
        <x:v>136개 중 승용 접근성 미확정 상용시설 16개 제외; 설 이전 그룹별 존재 근거</x:v>
      </x:c>
      <x:c r="D3" s="90" t="n">
        <x:v>120</x:v>
      </x:c>
      <x:c r="E3" s="90" t="n">
        <x:v>0</x:v>
      </x:c>
      <x:c r="F3" s="90" t="str">
        <x:v>포함·설비 그룹 근거 / 개별 기수 미확정</x:v>
      </x:c>
      <x:c r="G3" s="90" t="str">
        <x:v>개별 120개 모두 2월 가동 확정 아님</x:v>
      </x:c>
      <x:c r="H3" s="90" t="str">
        <x:v>20261010 설비근거_136 / BASE215 공급표</x:v>
      </x:c>
    </x:row>
    <x:row r="4" ht="60" customHeight="1">
      <x:c r="A4" s="90" t="str">
        <x:v>설 이전 상용차 시설</x:v>
      </x:c>
      <x:c r="B4" s="90" t="n">
        <x:v>16</x:v>
      </x:c>
      <x:c r="C4" s="90" t="str">
        <x:v>2024년 상용차 대상 설치·개소 근거; 승용 접근성 미확정</x:v>
      </x:c>
      <x:c r="D4" s="90" t="n">
        <x:v>0</x:v>
      </x:c>
      <x:c r="E4" s="90" t="n">
        <x:v>16</x:v>
      </x:c>
      <x:c r="F4" s="90" t="str">
        <x:v>제외·접근성 미확정</x:v>
      </x:c>
      <x:c r="G4" s="90" t="str">
        <x:v>없었던 시설이 아님; 승용 공급에서는 제외</x:v>
      </x:c>
      <x:c r="H4" s="90" t="str">
        <x:v>20261010 설비근거_136 / 20261012 최종</x:v>
      </x:c>
    </x:row>
    <x:row r="5" ht="60" customHeight="1">
      <x:c r="A5" s="90" t="str">
        <x:v>2026년 신설 후속 도입 유력</x:v>
      </x:c>
      <x:c r="B5" s="90" t="n">
        <x:v>42</x:v>
      </x:c>
      <x:c r="C5" s="90" t="str">
        <x:v>설 연휴 종료 후 조달기록(2/23~4/10) 확인; 개통·준공일 미확정</x:v>
      </x:c>
      <x:c r="D5" s="90" t="n">
        <x:v>0</x:v>
      </x:c>
      <x:c r="E5" s="90" t="n">
        <x:v>42</x:v>
      </x:c>
      <x:c r="F5" s="90" t="str">
        <x:v>기준 충족·BASE215 제외 확정</x:v>
      </x:c>
      <x:c r="G5" s="90" t="str">
        <x:v>제외 판정 확정 / 2월 물리적 부재 직접 증명은 별개</x:v>
      </x:c>
      <x:c r="H5" s="90" t="str">
        <x:v>20261010 2026등록_51기</x:v>
      </x:c>
    </x:row>
    <x:row r="6" ht="60" customHeight="1">
      <x:c r="A6" s="90" t="str">
        <x:v>2026년 설 전 공고 취소</x:v>
      </x:c>
      <x:c r="B6" s="90" t="n">
        <x:v>4</x:v>
      </x:c>
      <x:c r="C6" s="90" t="str">
        <x:v>DOWN 안성 ST: 2/06 공고, 2/11 취소 로그</x:v>
      </x:c>
      <x:c r="D6" s="90" t="n">
        <x:v>0</x:v>
      </x:c>
      <x:c r="E6" s="90" t="n">
        <x:v>4</x:v>
      </x:c>
      <x:c r="F6" s="90" t="str">
        <x:v>제외·공고 취소</x:v>
      </x:c>
      <x:c r="G6" s="90" t="str">
        <x:v>실제 미설치·미가동 4개 확정 아님</x:v>
      </x:c>
      <x:c r="H6" s="90" t="str">
        <x:v>20261010 2026등록_51기</x:v>
      </x:c>
    </x:row>
    <x:row r="7" ht="60" customHeight="1">
      <x:c r="A7" s="90" t="str">
        <x:v>2026년 설치 시점 미확정</x:v>
      </x:c>
      <x:c r="B7" s="90" t="n">
        <x:v>5</x:v>
      </x:c>
      <x:c r="C7" s="90" t="str">
        <x:v>UP 김천 CV: 2/04 조달 관련 기록, 개통 미확인</x:v>
      </x:c>
      <x:c r="D7" s="90" t="n">
        <x:v>0</x:v>
      </x:c>
      <x:c r="E7" s="90" t="n">
        <x:v>5</x:v>
      </x:c>
      <x:c r="F7" s="90" t="str">
        <x:v>제외·시점 미확정</x:v>
      </x:c>
      <x:c r="G7" s="90" t="str">
        <x:v>실제 2월 존재/부재 모두 미확정</x:v>
      </x:c>
      <x:c r="H7" s="90" t="str">
        <x:v>20261010 2026등록_51기</x:v>
      </x:c>
    </x:row>
    <x:row r="8" ht="25" customHeight="1">
      <x:c r="A8" s="99" t="str">
        <x:v>9월 등록 합계</x:v>
      </x:c>
      <x:c r="B8" s="99" t="n">
        <x:f>SUM(B2:B7)</x:f>
        <x:v>282</x:v>
      </x:c>
      <x:c r="C8" s="99"/>
      <x:c r="D8" s="99" t="n">
        <x:f>SUM(D2:D7)</x:f>
        <x:v>215</x:v>
      </x:c>
      <x:c r="E8" s="99" t="n">
        <x:f>SUM(E2:E7)</x:f>
        <x:v>67</x:v>
      </x:c>
      <x:c r="F8" s="99" t="str">
        <x:v>합계: 282 = 215 + 67</x:v>
      </x:c>
      <x:c r="G8" s="99"/>
      <x:c r="H8" s="99"/>
    </x:row>
    <x:row r="9">
      <x:c r="A9" s="90"/>
      <x:c r="B9" s="90"/>
      <x:c r="C9" s="90"/>
      <x:c r="D9" s="90"/>
      <x:c r="E9" s="90"/>
      <x:c r="F9" s="90"/>
      <x:c r="G9" s="90"/>
      <x:c r="H9" s="90"/>
    </x:row>
    <x:row r="10" ht="29" customHeight="1">
      <x:c r="A10" s="95" t="str">
        <x:v>모델 공급 조정(9월 레코드 외)</x:v>
      </x:c>
      <x:c r="B10" s="95" t="str">
        <x:v>가상 슬롯 수</x:v>
      </x:c>
      <x:c r="C10" s="95" t="str">
        <x:v>근거</x:v>
      </x:c>
      <x:c r="D10" s="95" t="str">
        <x:v>기본 포함</x:v>
      </x:c>
      <x:c r="E10" s="95" t="str">
        <x:v>참고 제외</x:v>
      </x:c>
      <x:c r="F10" s="95" t="str">
        <x:v>판정 등급</x:v>
      </x:c>
      <x:c r="G10" s="95" t="str">
        <x:v>주의</x:v>
      </x:c>
      <x:c r="H10" s="95" t="str">
        <x:v>근거</x:v>
      </x:c>
    </x:row>
    <x:row r="11" ht="40" customHeight="1">
      <x:c r="A11" s="90" t="str">
        <x:v>피크 정합 +6</x:v>
      </x:c>
      <x:c r="B11" s="90" t="n">
        <x:v>6</x:v>
      </x:c>
      <x:c r="C11" s="90" t="str">
        <x:v>5개소 관측 최대 동시 세션과 기본 공급 차이</x:v>
      </x:c>
      <x:c r="D11" s="90" t="n">
        <x:v>0</x:v>
      </x:c>
      <x:c r="E11" s="90" t="n">
        <x:v>6</x:v>
      </x:c>
      <x:c r="F11" s="90" t="str">
        <x:v>QC 전용·미채택</x:v>
      </x:c>
      <x:c r="G11" s="90" t="str">
        <x:v>2월 실제 물리 충전기 6기 아님</x:v>
      </x:c>
      <x:c r="H11" s="90" t="str">
        <x:v>20261012 SUPPLY_AND_VALIDATION_FINAL</x:v>
      </x:c>
    </x:row>
    <x:row r="12" ht="40" customHeight="1">
      <x:c r="A12" s="90"/>
      <x:c r="B12" s="90"/>
      <x:c r="C12" s="90"/>
      <x:c r="D12" s="90"/>
      <x:c r="E12" s="90"/>
      <x:c r="F12" s="90"/>
      <x:c r="G12" s="90"/>
      <x:c r="H12" s="90"/>
    </x:row>
    <x:row r="13" ht="40" customHeight="1">
      <x:c r="A13" s="90" t="str">
        <x:v>기간/관측</x:v>
      </x:c>
      <x:c r="B13" s="90"/>
      <x:c r="C13" s="90" t="str">
        <x:v>10일 충전 시작 11,405건; 35곳 중 29곳 이력 관측</x:v>
      </x:c>
      <x:c r="D13" s="90"/>
      <x:c r="E13" s="90"/>
      <x:c r="F13" s="90" t="str">
        <x:v>6곳 이력 미관측</x:v>
      </x:c>
      <x:c r="G13" s="90" t="str">
        <x:v>미관측 6곳을 공급 0으로 처리하거나 2월 미설치로 판단하지 않음</x:v>
      </x:c>
      <x:c r="H13" s="90" t="str">
        <x:v>20261012 최종 / 10일 검증</x:v>
      </x:c>
    </x:row>
    <x:row r="14" ht="40" customHeight="1">
      <x:c r="A14" s="90"/>
      <x:c r="B14" s="90"/>
      <x:c r="C14" s="90"/>
      <x:c r="D14" s="90"/>
      <x:c r="E14" s="90"/>
      <x:c r="F14" s="90"/>
      <x:c r="G14" s="90"/>
      <x:c r="H14" s="90"/>
    </x:row>
    <x:row r="15" ht="40" customHeight="1">
      <x:c r="A15" s="90" t="str">
        <x:v>판정 문구 핵심</x:v>
      </x:c>
      <x:c r="B15" s="90"/>
      <x:c r="C15" s="90" t="str">
        <x:v>2월에 없었다는 직접 증빙 ≠ 설 이후 조달기록</x:v>
      </x:c>
      <x:c r="D15" s="90"/>
      <x:c r="E15" s="90"/>
      <x:c r="F15" s="90" t="str">
        <x:v>모델 판정(42): 확정 / 실물 부재(42): 직접 증명 미완료</x:v>
      </x:c>
      <x:c r="G15" s="90" t="str">
        <x:v>42는 사전 합의한 일정 기준에 따라 모두 제외. 확정되지 않은 5개와 구분</x:v>
      </x:c>
      <x:c r="H15" s="90" t="str">
        <x:v>20261010 원 조사 로그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2" hidden="0" customWidth="1"/>
    <x:col min="3" max="3" width="10" hidden="0" customWidth="1"/>
    <x:col min="4" max="4" width="13" hidden="0" customWidth="1"/>
    <x:col min="5" max="5" width="24" hidden="0" customWidth="1"/>
    <x:col min="6" max="6" width="34" hidden="0" customWidth="1"/>
    <x:col min="7" max="7" width="17" hidden="0" customWidth="1"/>
    <x:col min="8" max="8" width="38" hidden="0" customWidth="1"/>
    <x:col min="9" max="9" width="34" hidden="0" customWidth="1"/>
    <x:col min="10" max="10" width="51" hidden="0" customWidth="1"/>
    <x:col min="11" max="11" width="41" hidden="0" customWidth="1"/>
  </x:cols>
  <x:sheetData>
    <x:row r="1" ht="29" customHeight="1">
      <x:c r="A1" s="95" t="str">
        <x:v>방향</x:v>
      </x:c>
      <x:c r="B1" s="95" t="str">
        <x:v>휴게소</x:v>
      </x:c>
      <x:c r="C1" s="95" t="str">
        <x:v>운영사</x:v>
      </x:c>
      <x:c r="D1" s="95" t="str">
        <x:v>9월 레코드</x:v>
      </x:c>
      <x:c r="E1" s="95" t="str">
        <x:v>분류</x:v>
      </x:c>
      <x:c r="F1" s="95" t="str">
        <x:v>기존 증거·날짜</x:v>
      </x:c>
      <x:c r="G1" s="95" t="str">
        <x:v>BASE215 처리</x:v>
      </x:c>
      <x:c r="H1" s="95" t="str">
        <x:v>증거 수준</x:v>
      </x:c>
      <x:c r="I1" s="95" t="str">
        <x:v>2월 부재 확정 여부</x:v>
      </x:c>
      <x:c r="J1" s="95" t="str">
        <x:v>미확정 사실</x:v>
      </x:c>
      <x:c r="K1" s="95" t="str">
        <x:v>출처</x:v>
      </x:c>
    </x:row>
    <x:row r="2" ht="67" customHeight="1">
      <x:c r="A2" s="90" t="str">
        <x:v>DOWN</x:v>
      </x:c>
      <x:c r="B2" s="90" t="str">
        <x:v>김천휴게소</x:v>
      </x:c>
      <x:c r="C2" s="90" t="str">
        <x:v>CV</x:v>
      </x:c>
      <x:c r="D2" s="90" t="n">
        <x:v>8</x:v>
      </x:c>
      <x:c r="E2" s="90" t="str">
        <x:v>설 이후 유력</x:v>
      </x:c>
      <x:c r="F2" s="90" t="str">
        <x:v>2026-02-23 조달 관련 기록</x:v>
      </x:c>
      <x:c r="G2" s="90" t="str">
        <x:v>일정 기준 충족·BASE215 제외 확정</x:v>
      </x:c>
      <x:c r="H2" s="90" t="str">
        <x:v>사후 도입 유력 / 개통일 미확인</x:v>
      </x:c>
      <x:c r="I2" s="90" t="str">
        <x:v>아니오 — 직접 증빙 미확보</x:v>
      </x:c>
      <x:c r="J2" s="90" t="str">
        <x:v>개통월 실측 미확정</x:v>
      </x:c>
      <x:c r="K2" s="90" t="str">
        <x:v>sp3_64_historical_evidence_conclusion_20261010.xlsx: 2026등록_51기</x:v>
      </x:c>
    </x:row>
    <x:row r="3" ht="67" customHeight="1">
      <x:c r="A3" s="90" t="str">
        <x:v>DOWN</x:v>
      </x:c>
      <x:c r="B3" s="90" t="str">
        <x:v>추풍령휴게소</x:v>
      </x:c>
      <x:c r="C3" s="90" t="str">
        <x:v>CV</x:v>
      </x:c>
      <x:c r="D3" s="90" t="n">
        <x:v>7</x:v>
      </x:c>
      <x:c r="E3" s="90" t="str">
        <x:v>설 이후 유력</x:v>
      </x:c>
      <x:c r="F3" s="90" t="str">
        <x:v>2026-03-12 조달 관련 기록</x:v>
      </x:c>
      <x:c r="G3" s="90" t="str">
        <x:v>일정 기준 충족·BASE215 제외 확정</x:v>
      </x:c>
      <x:c r="H3" s="90" t="str">
        <x:v>사후 도입 유력 / 개통일 미확인</x:v>
      </x:c>
      <x:c r="I3" s="90" t="str">
        <x:v>아니오 — 직접 증빙 미확보</x:v>
      </x:c>
      <x:c r="J3" s="90" t="str">
        <x:v>설 이후 공고는 설 당시 미운영 가능성을 높이나 최종 개통일 아님</x:v>
      </x:c>
      <x:c r="K3" s="90" t="str">
        <x:v>sp3_64_historical_evidence_conclusion_20261010.xlsx: 2026등록_51기</x:v>
      </x:c>
    </x:row>
    <x:row r="4" ht="67" customHeight="1">
      <x:c r="A4" s="90" t="str">
        <x:v>DOWN</x:v>
      </x:c>
      <x:c r="B4" s="90" t="str">
        <x:v>칠곡휴게소</x:v>
      </x:c>
      <x:c r="C4" s="90" t="str">
        <x:v>CV</x:v>
      </x:c>
      <x:c r="D4" s="90" t="n">
        <x:v>9</x:v>
      </x:c>
      <x:c r="E4" s="90" t="str">
        <x:v>설 이후 유력</x:v>
      </x:c>
      <x:c r="F4" s="90" t="str">
        <x:v>2026-03-12 조달 관련 기록</x:v>
      </x:c>
      <x:c r="G4" s="90" t="str">
        <x:v>일정 기준 충족·BASE215 제외 확정</x:v>
      </x:c>
      <x:c r="H4" s="90" t="str">
        <x:v>사후 도입 유력 / 개통일 미확인</x:v>
      </x:c>
      <x:c r="I4" s="90" t="str">
        <x:v>아니오 — 직접 증빙 미확보</x:v>
      </x:c>
      <x:c r="J4" s="90" t="str">
        <x:v>설 이후 공고는 설 당시 미운영 가능성을 높이나 최종 개통일 아님</x:v>
      </x:c>
      <x:c r="K4" s="90" t="str">
        <x:v>sp3_64_historical_evidence_conclusion_20261010.xlsx: 2026등록_51기</x:v>
      </x:c>
    </x:row>
    <x:row r="5" ht="67" customHeight="1">
      <x:c r="A5" s="90" t="str">
        <x:v>DOWN</x:v>
      </x:c>
      <x:c r="B5" s="90" t="str">
        <x:v>평사휴게소</x:v>
      </x:c>
      <x:c r="C5" s="90" t="str">
        <x:v>CV</x:v>
      </x:c>
      <x:c r="D5" s="90" t="n">
        <x:v>5</x:v>
      </x:c>
      <x:c r="E5" s="90" t="str">
        <x:v>설 이후 유력</x:v>
      </x:c>
      <x:c r="F5" s="90" t="str">
        <x:v>2026-03-17 조달 관련 기록</x:v>
      </x:c>
      <x:c r="G5" s="90" t="str">
        <x:v>일정 기준 충족·BASE215 제외 확정</x:v>
      </x:c>
      <x:c r="H5" s="90" t="str">
        <x:v>사후 도입 유력 / 개통일 미확인</x:v>
      </x:c>
      <x:c r="I5" s="90" t="str">
        <x:v>아니오 — 직접 증빙 미확보</x:v>
      </x:c>
      <x:c r="J5" s="90" t="str">
        <x:v>설 이후 공고는 설 당시 미운영 가능성을 높이나 최종 개통일 아님</x:v>
      </x:c>
      <x:c r="K5" s="90" t="str">
        <x:v>sp3_64_historical_evidence_conclusion_20261010.xlsx: 2026등록_51기</x:v>
      </x:c>
    </x:row>
    <x:row r="6" ht="67" customHeight="1">
      <x:c r="A6" s="90" t="str">
        <x:v>UP</x:v>
      </x:c>
      <x:c r="B6" s="90" t="str">
        <x:v>경산휴게소</x:v>
      </x:c>
      <x:c r="C6" s="90" t="str">
        <x:v>CV</x:v>
      </x:c>
      <x:c r="D6" s="90" t="n">
        <x:v>5</x:v>
      </x:c>
      <x:c r="E6" s="90" t="str">
        <x:v>설 이후 유력</x:v>
      </x:c>
      <x:c r="F6" s="90" t="str">
        <x:v>2026-04-01 조달 관련 기록</x:v>
      </x:c>
      <x:c r="G6" s="90" t="str">
        <x:v>일정 기준 충족·BASE215 제외 확정</x:v>
      </x:c>
      <x:c r="H6" s="90" t="str">
        <x:v>사후 도입 유력 / 개통일 미확인</x:v>
      </x:c>
      <x:c r="I6" s="90" t="str">
        <x:v>아니오 — 직접 증빙 미확보</x:v>
      </x:c>
      <x:c r="J6" s="90" t="str">
        <x:v>설 이후 공고는 설 당시 미운영 가능성을 높이나 최종 개통일 아님</x:v>
      </x:c>
      <x:c r="K6" s="90" t="str">
        <x:v>sp3_64_historical_evidence_conclusion_20261010.xlsx: 2026등록_51기</x:v>
      </x:c>
    </x:row>
    <x:row r="7" ht="67" customHeight="1">
      <x:c r="A7" s="90" t="str">
        <x:v>UP</x:v>
      </x:c>
      <x:c r="B7" s="90" t="str">
        <x:v>언양휴게소</x:v>
      </x:c>
      <x:c r="C7" s="90" t="str">
        <x:v>CV</x:v>
      </x:c>
      <x:c r="D7" s="90" t="n">
        <x:v>8</x:v>
      </x:c>
      <x:c r="E7" s="90" t="str">
        <x:v>설 이후 유력</x:v>
      </x:c>
      <x:c r="F7" s="90" t="str">
        <x:v>2026-04-10 조달 관련 기록</x:v>
      </x:c>
      <x:c r="G7" s="90" t="str">
        <x:v>일정 기준 충족·BASE215 제외 확정</x:v>
      </x:c>
      <x:c r="H7" s="90" t="str">
        <x:v>사후 도입 유력 / 개통일 미확인</x:v>
      </x:c>
      <x:c r="I7" s="90" t="str">
        <x:v>아니오 — 직접 증빙 미확보</x:v>
      </x:c>
      <x:c r="J7" s="90" t="str">
        <x:v>설 이후 공고는 설 당시 미운영 가능성을 높이나 최종 개통일 아님</x:v>
      </x:c>
      <x:c r="K7" s="90" t="str">
        <x:v>sp3_64_historical_evidence_conclusion_20261010.xlsx: 2026등록_51기</x:v>
      </x:c>
    </x:row>
    <x:row r="8" ht="67" customHeight="1">
      <x:c r="A8" s="90" t="str">
        <x:v>UP</x:v>
      </x:c>
      <x:c r="B8" s="90" t="str">
        <x:v>김천휴게소</x:v>
      </x:c>
      <x:c r="C8" s="90" t="str">
        <x:v>CV</x:v>
      </x:c>
      <x:c r="D8" s="90" t="n">
        <x:v>5</x:v>
      </x:c>
      <x:c r="E8" s="90" t="str">
        <x:v>설 당시 존재 미확정</x:v>
      </x:c>
      <x:c r="F8" s="90" t="str">
        <x:v>2026-02-04 조달 관련 기록</x:v>
      </x:c>
      <x:c r="G8" s="90" t="str">
        <x:v>기본 제외</x:v>
      </x:c>
      <x:c r="H8" s="90" t="str">
        <x:v>설 전 조달기록 / 실제 개통 미확인</x:v>
      </x:c>
      <x:c r="I8" s="90" t="str">
        <x:v>아니오 — 직접 증빙 미확보</x:v>
      </x:c>
      <x:c r="J8" s="90" t="str">
        <x:v>입찰/조달 기록만으로 충전 개시 확인 불가</x:v>
      </x:c>
      <x:c r="K8" s="90" t="str">
        <x:v>sp3_64_historical_evidence_conclusion_20261010.xlsx: 2026등록_51기</x:v>
      </x:c>
    </x:row>
    <x:row r="9" ht="67" customHeight="1">
      <x:c r="A9" s="90" t="str">
        <x:v>DOWN</x:v>
      </x:c>
      <x:c r="B9" s="90" t="str">
        <x:v>안성휴게소</x:v>
      </x:c>
      <x:c r="C9" s="90" t="str">
        <x:v>ST</x:v>
      </x:c>
      <x:c r="D9" s="90" t="n">
        <x:v>4</x:v>
      </x:c>
      <x:c r="E9" s="90" t="str">
        <x:v>설 당시 존재 미확정</x:v>
      </x:c>
      <x:c r="F9" s="90" t="str">
        <x:v>2026-02-06 공고, 02-11 취소 조사 로그</x:v>
      </x:c>
      <x:c r="G9" s="90" t="str">
        <x:v>기본 제외</x:v>
      </x:c>
      <x:c r="H9" s="90" t="str">
        <x:v>취소 공고 확인 / 대체 구축 여부 미확인</x:v>
      </x:c>
      <x:c r="I9" s="90" t="str">
        <x:v>아니오 — 직접 증빙 미확보</x:v>
      </x:c>
      <x:c r="J9" s="90" t="str">
        <x:v>설 전 공고도 취소되었다면 가동 근거로 부적절</x:v>
      </x:c>
      <x:c r="K9" s="90" t="str">
        <x:v>sp3_64_historical_evidence_conclusion_20261010.xlsx: 2026등록_51기</x:v>
      </x:c>
    </x:row>
    <x:row r="10" ht="25" customHeight="1">
      <x:c r="A10" s="99" t="str">
        <x:v>총합</x:v>
      </x:c>
      <x:c r="B10" s="99"/>
      <x:c r="C10" s="99"/>
      <x:c r="D10" s="99" t="n">
        <x:f>SUM(D2:D9)</x:f>
        <x:v>51</x:v>
      </x:c>
      <x:c r="E10" s="99"/>
      <x:c r="F10" s="99"/>
      <x:c r="G10" s="99"/>
      <x:c r="H10" s="99"/>
      <x:c r="I10" s="99"/>
      <x:c r="J10" s="99"/>
      <x:c r="K10" s="99"/>
    </x:row>
    <x:row r="11">
      <x:c r="A11" s="90"/>
      <x:c r="B11" s="90"/>
      <x:c r="C11" s="90"/>
      <x:c r="D11" s="90"/>
      <x:c r="E11" s="90"/>
      <x:c r="F11" s="90"/>
      <x:c r="G11" s="90"/>
      <x:c r="H11" s="90"/>
      <x:c r="I11" s="90"/>
      <x:c r="J11" s="90"/>
      <x:c r="K11" s="90"/>
    </x:row>
    <x:row r="12">
      <x:c r="A12" s="90" t="str">
        <x:v>42: 사후 도입 유력</x:v>
      </x:c>
      <x:c r="B12" s="90" t="n">
        <x:v>42</x:v>
      </x:c>
      <x:c r="C12" s="90" t="str">
        <x:v>4: 공고 취소</x:v>
      </x:c>
      <x:c r="D12" s="90" t="n">
        <x:v>4</x:v>
      </x:c>
      <x:c r="E12" s="90" t="str">
        <x:v>5: 설치 시점 미정</x:v>
      </x:c>
      <x:c r="F12" s="90"/>
      <x:c r="G12" s="90"/>
      <x:c r="H12" s="90"/>
      <x:c r="I12" s="90"/>
      <x:c r="J12" s="90"/>
      <x:c r="K12" s="90"/>
    </x:row>
    <x:row r="13">
      <x:c r="A13" s="90"/>
      <x:c r="B13" s="90"/>
      <x:c r="C13" s="90"/>
      <x:c r="D13" s="90"/>
      <x:c r="E13" s="90"/>
      <x:c r="F13" s="90"/>
      <x:c r="G13" s="90"/>
      <x:c r="H13" s="90"/>
      <x:c r="I13" s="90"/>
      <x:c r="J13" s="90"/>
      <x:c r="K13" s="90"/>
    </x:row>
    <x:row r="14" ht="60" customHeight="1">
      <x:c r="A14" s="90" t="str">
        <x:v>판정 유의</x:v>
      </x:c>
      <x:c r="B14" s="90"/>
      <x:c r="C14" s="90"/>
      <x:c r="D14" s="90"/>
      <x:c r="E14" s="90"/>
      <x:c r="F14" s="90" t="str">
        <x:v>이 표에 포함된 51개는 '9월 API 2026년 설치 표기'다.</x:v>
      </x:c>
      <x:c r="G14" s="90" t="str">
        <x:v>42는 연구용 공급 제외 확정. 개통일 직접 증명 미확보와 혼동하지 않음</x:v>
      </x:c>
      <x:c r="H14" s="90"/>
      <x:c r="I14" s="90" t="str">
        <x:v>2월 부재 확정표 아님</x:v>
      </x:c>
      <x:c r="J14" s="90" t="str">
        <x:v>공고/조달 일자는 준공·개통·정상 가동일과 구별</x:v>
      </x:c>
      <x:c r="K14" s="90" t="str">
        <x:v>20261010 조사 원문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7" hidden="0" customWidth="1"/>
    <x:col min="3" max="3" width="14" hidden="0" customWidth="1"/>
    <x:col min="4" max="4" width="18" hidden="0" customWidth="1"/>
    <x:col min="5" max="5" width="17" hidden="0" customWidth="1"/>
    <x:col min="6" max="6" width="14" hidden="0" customWidth="1"/>
    <x:col min="7" max="7" width="17" hidden="0" customWidth="1"/>
    <x:col min="8" max="8" width="18" hidden="0" customWidth="1"/>
    <x:col min="9" max="9" width="16" hidden="0" customWidth="1"/>
    <x:col min="10" max="10" width="13" hidden="0" customWidth="1"/>
    <x:col min="11" max="11" width="18" hidden="0" customWidth="1"/>
    <x:col min="12" max="12" width="17" hidden="0" customWidth="1"/>
    <x:col min="13" max="13" width="52" hidden="0" customWidth="1"/>
  </x:cols>
  <x:sheetData>
    <x:row r="1" ht="29" customHeight="1">
      <x:c r="A1" s="95" t="str">
        <x:v>방향</x:v>
      </x:c>
      <x:c r="B1" s="95" t="str">
        <x:v>휴게소</x:v>
      </x:c>
      <x:c r="C1" s="95" t="str">
        <x:v>기점거리 km</x:v>
      </x:c>
      <x:c r="D1" s="95" t="str">
        <x:v>2월 ME 기록 여부</x:v>
      </x:c>
      <x:c r="E1" s="95" t="str">
        <x:v>10일 실측 시작</x:v>
      </x:c>
      <x:c r="F1" s="95" t="str">
        <x:v>9월 ME 포함</x:v>
      </x:c>
      <x:c r="G1" s="95" t="str">
        <x:v>비ME 역사적 후보</x:v>
      </x:c>
      <x:c r="H1" s="95" t="str">
        <x:v>상용차 16 제외분</x:v>
      </x:c>
      <x:c r="I1" s="95" t="str">
        <x:v>비ME 승용 포함</x:v>
      </x:c>
      <x:c r="J1" s="95" t="str">
        <x:v>BASE215</x:v>
      </x:c>
      <x:c r="K1" s="95" t="str">
        <x:v>QC 추가(미채택)</x:v>
      </x:c>
      <x:c r="L1" s="95" t="str">
        <x:v>PEAK221 참고</x:v>
      </x:c>
      <x:c r="M1" s="95" t="str">
        <x:v>판정 메모</x:v>
      </x:c>
    </x:row>
    <x:row r="2" ht="33" customHeight="1">
      <x:c r="A2" s="90" t="str">
        <x:v>DOWN</x:v>
      </x:c>
      <x:c r="B2" s="90" t="str">
        <x:v>서울만남휴게소</x:v>
      </x:c>
      <x:c r="C2" s="90" t="n">
        <x:v>0.649</x:v>
      </x:c>
      <x:c r="D2" s="90" t="str">
        <x:v>관측</x:v>
      </x:c>
      <x:c r="E2" s="90" t="n">
        <x:v>107</x:v>
      </x:c>
      <x:c r="F2" s="90" t="n">
        <x:v>2</x:v>
      </x:c>
      <x:c r="G2" s="90" t="n">
        <x:v>3</x:v>
      </x:c>
      <x:c r="H2" s="90" t="n">
        <x:v>0</x:v>
      </x:c>
      <x:c r="I2" s="90" t="n">
        <x:f>G2-H2</x:f>
        <x:v>3</x:v>
      </x:c>
      <x:c r="J2" s="90" t="n">
        <x:f>F2+I2</x:f>
        <x:v>5</x:v>
      </x:c>
      <x:c r="K2" s="90" t="n">
        <x:v>0</x:v>
      </x:c>
      <x:c r="L2" s="90" t="n">
        <x:f>J2+K2</x:f>
        <x:v>5</x:v>
      </x:c>
      <x:c r="M2" s="90" t="str">
        <x:v>9월 ME·과거 비ME 시설 그룹 근거 / 개별 슬롯 2월 가동 미확정</x:v>
      </x:c>
    </x:row>
    <x:row r="3" ht="33" customHeight="1">
      <x:c r="A3" s="90" t="str">
        <x:v>DOWN</x:v>
      </x:c>
      <x:c r="B3" s="90" t="str">
        <x:v>서울하이패스센터쉼터</x:v>
      </x:c>
      <x:c r="C3" s="90" t="n">
        <x:v>12.136</x:v>
      </x:c>
      <x:c r="D3" s="90" t="str">
        <x:v>관측</x:v>
      </x:c>
      <x:c r="E3" s="90" t="n">
        <x:v>176</x:v>
      </x:c>
      <x:c r="F3" s="90" t="n">
        <x:v>1</x:v>
      </x:c>
      <x:c r="G3" s="90" t="n">
        <x:v>0</x:v>
      </x:c>
      <x:c r="H3" s="90" t="n">
        <x:v>0</x:v>
      </x:c>
      <x:c r="I3" s="90" t="n">
        <x:f>G3-H3</x:f>
        <x:v>0</x:v>
      </x:c>
      <x:c r="J3" s="90" t="n">
        <x:f>F3+I3</x:f>
        <x:v>1</x:v>
      </x:c>
      <x:c r="K3" s="90" t="n">
        <x:v>1</x:v>
      </x:c>
      <x:c r="L3" s="90" t="n">
        <x:f>J3+K3</x:f>
        <x:v>2</x:v>
      </x:c>
      <x:c r="M3" s="90" t="str">
        <x:v>피크차이 QC 보정 참고만, BASE에는 미포함</x:v>
      </x:c>
    </x:row>
    <x:row r="4" ht="33" customHeight="1">
      <x:c r="A4" s="90" t="str">
        <x:v>DOWN</x:v>
      </x:c>
      <x:c r="B4" s="90" t="str">
        <x:v>기흥휴게소</x:v>
      </x:c>
      <x:c r="C4" s="90" t="n">
        <x:v>27.364</x:v>
      </x:c>
      <x:c r="D4" s="90" t="str">
        <x:v>관측</x:v>
      </x:c>
      <x:c r="E4" s="90" t="n">
        <x:v>85</x:v>
      </x:c>
      <x:c r="F4" s="90" t="n">
        <x:v>2</x:v>
      </x:c>
      <x:c r="G4" s="90" t="n">
        <x:v>8</x:v>
      </x:c>
      <x:c r="H4" s="90" t="n">
        <x:v>0</x:v>
      </x:c>
      <x:c r="I4" s="90" t="n">
        <x:f>G4-H4</x:f>
        <x:v>8</x:v>
      </x:c>
      <x:c r="J4" s="90" t="n">
        <x:f>F4+I4</x:f>
        <x:v>10</x:v>
      </x:c>
      <x:c r="K4" s="90" t="n">
        <x:v>0</x:v>
      </x:c>
      <x:c r="L4" s="90" t="n">
        <x:f>J4+K4</x:f>
        <x:v>10</x:v>
      </x:c>
      <x:c r="M4" s="90" t="str">
        <x:v>9월 ME·과거 비ME 시설 그룹 근거 / 개별 슬롯 2월 가동 미확정</x:v>
      </x:c>
    </x:row>
    <x:row r="5" ht="33" customHeight="1">
      <x:c r="A5" s="90" t="str">
        <x:v>DOWN</x:v>
      </x:c>
      <x:c r="B5" s="90" t="str">
        <x:v>안성휴게소</x:v>
      </x:c>
      <x:c r="C5" s="90" t="n">
        <x:v>53.835</x:v>
      </x:c>
      <x:c r="D5" s="90" t="str">
        <x:v>관측</x:v>
      </x:c>
      <x:c r="E5" s="90" t="n">
        <x:v>344</x:v>
      </x:c>
      <x:c r="F5" s="90" t="n">
        <x:v>3</x:v>
      </x:c>
      <x:c r="G5" s="90" t="n">
        <x:v>6</x:v>
      </x:c>
      <x:c r="H5" s="90" t="n">
        <x:v>0</x:v>
      </x:c>
      <x:c r="I5" s="90" t="n">
        <x:f>G5-H5</x:f>
        <x:v>6</x:v>
      </x:c>
      <x:c r="J5" s="90" t="n">
        <x:f>F5+I5</x:f>
        <x:v>9</x:v>
      </x:c>
      <x:c r="K5" s="90" t="n">
        <x:v>0</x:v>
      </x:c>
      <x:c r="L5" s="90" t="n">
        <x:f>J5+K5</x:f>
        <x:v>9</x:v>
      </x:c>
      <x:c r="M5" s="90" t="str">
        <x:v>9월 ME·과거 비ME 시설 그룹 근거 / 개별 슬롯 2월 가동 미확정</x:v>
      </x:c>
    </x:row>
    <x:row r="6" ht="33" customHeight="1">
      <x:c r="A6" s="90" t="str">
        <x:v>DOWN</x:v>
      </x:c>
      <x:c r="B6" s="90" t="str">
        <x:v>망향휴게소</x:v>
      </x:c>
      <x:c r="C6" s="90" t="n">
        <x:v>72.625</x:v>
      </x:c>
      <x:c r="D6" s="90" t="str">
        <x:v>미관측</x:v>
      </x:c>
      <x:c r="E6" s="90"/>
      <x:c r="F6" s="90" t="n">
        <x:v>0</x:v>
      </x:c>
      <x:c r="G6" s="90" t="n">
        <x:v>7</x:v>
      </x:c>
      <x:c r="H6" s="90" t="n">
        <x:v>0</x:v>
      </x:c>
      <x:c r="I6" s="90" t="n">
        <x:f>G6-H6</x:f>
        <x:v>7</x:v>
      </x:c>
      <x:c r="J6" s="90" t="n">
        <x:f>F6+I6</x:f>
        <x:v>7</x:v>
      </x:c>
      <x:c r="K6" s="90" t="n">
        <x:v>0</x:v>
      </x:c>
      <x:c r="L6" s="90" t="n">
        <x:f>J6+K6</x:f>
        <x:v>7</x:v>
      </x:c>
      <x:c r="M6" s="90" t="str">
        <x:v>2월 ME 이력 미관측(N/A)·설비 존재 0 아님</x:v>
      </x:c>
    </x:row>
    <x:row r="7" ht="33" customHeight="1">
      <x:c r="A7" s="90" t="str">
        <x:v>DOWN</x:v>
      </x:c>
      <x:c r="B7" s="90" t="str">
        <x:v>천안호두휴게소</x:v>
      </x:c>
      <x:c r="C7" s="90" t="n">
        <x:v>91.936</x:v>
      </x:c>
      <x:c r="D7" s="90" t="str">
        <x:v>관측</x:v>
      </x:c>
      <x:c r="E7" s="90" t="n">
        <x:v>393</x:v>
      </x:c>
      <x:c r="F7" s="90" t="n">
        <x:v>2</x:v>
      </x:c>
      <x:c r="G7" s="90" t="n">
        <x:v>4</x:v>
      </x:c>
      <x:c r="H7" s="90" t="n">
        <x:v>0</x:v>
      </x:c>
      <x:c r="I7" s="90" t="n">
        <x:f>G7-H7</x:f>
        <x:v>4</x:v>
      </x:c>
      <x:c r="J7" s="90" t="n">
        <x:f>F7+I7</x:f>
        <x:v>6</x:v>
      </x:c>
      <x:c r="K7" s="90" t="n">
        <x:v>0</x:v>
      </x:c>
      <x:c r="L7" s="90" t="n">
        <x:f>J7+K7</x:f>
        <x:v>6</x:v>
      </x:c>
      <x:c r="M7" s="90" t="str">
        <x:v>9월 ME·과거 비ME 시설 그룹 근거 / 개별 슬롯 2월 가동 미확정</x:v>
      </x:c>
    </x:row>
    <x:row r="8" ht="33" customHeight="1">
      <x:c r="A8" s="90" t="str">
        <x:v>DOWN</x:v>
      </x:c>
      <x:c r="B8" s="90" t="str">
        <x:v>옥산휴게소</x:v>
      </x:c>
      <x:c r="C8" s="90" t="n">
        <x:v>107.436</x:v>
      </x:c>
      <x:c r="D8" s="90" t="str">
        <x:v>관측</x:v>
      </x:c>
      <x:c r="E8" s="90" t="n">
        <x:v>344</x:v>
      </x:c>
      <x:c r="F8" s="90" t="n">
        <x:v>4</x:v>
      </x:c>
      <x:c r="G8" s="90" t="n">
        <x:v>2</x:v>
      </x:c>
      <x:c r="H8" s="90" t="n">
        <x:v>0</x:v>
      </x:c>
      <x:c r="I8" s="90" t="n">
        <x:f>G8-H8</x:f>
        <x:v>2</x:v>
      </x:c>
      <x:c r="J8" s="90" t="n">
        <x:f>F8+I8</x:f>
        <x:v>6</x:v>
      </x:c>
      <x:c r="K8" s="90" t="n">
        <x:v>0</x:v>
      </x:c>
      <x:c r="L8" s="90" t="n">
        <x:f>J8+K8</x:f>
        <x:v>6</x:v>
      </x:c>
      <x:c r="M8" s="90" t="str">
        <x:v>9월 ME·과거 비ME 시설 그룹 근거 / 개별 슬롯 2월 가동 미확정</x:v>
      </x:c>
    </x:row>
    <x:row r="9" ht="33" customHeight="1">
      <x:c r="A9" s="90" t="str">
        <x:v>DOWN</x:v>
      </x:c>
      <x:c r="B9" s="90" t="str">
        <x:v>죽암휴게소</x:v>
      </x:c>
      <x:c r="C9" s="90" t="n">
        <x:v>128.332</x:v>
      </x:c>
      <x:c r="D9" s="90" t="str">
        <x:v>미관측</x:v>
      </x:c>
      <x:c r="E9" s="90"/>
      <x:c r="F9" s="90" t="n">
        <x:v>0</x:v>
      </x:c>
      <x:c r="G9" s="90" t="n">
        <x:v>5</x:v>
      </x:c>
      <x:c r="H9" s="90" t="n">
        <x:v>0</x:v>
      </x:c>
      <x:c r="I9" s="90" t="n">
        <x:f>G9-H9</x:f>
        <x:v>5</x:v>
      </x:c>
      <x:c r="J9" s="90" t="n">
        <x:f>F9+I9</x:f>
        <x:v>5</x:v>
      </x:c>
      <x:c r="K9" s="90" t="n">
        <x:v>0</x:v>
      </x:c>
      <x:c r="L9" s="90" t="n">
        <x:f>J9+K9</x:f>
        <x:v>5</x:v>
      </x:c>
      <x:c r="M9" s="90" t="str">
        <x:v>2월 ME 이력 미관측(N/A)·설비 존재 0 아님</x:v>
      </x:c>
    </x:row>
    <x:row r="10" ht="33" customHeight="1">
      <x:c r="A10" s="90" t="str">
        <x:v>DOWN</x:v>
      </x:c>
      <x:c r="B10" s="90" t="str">
        <x:v>옥천만남휴게소</x:v>
      </x:c>
      <x:c r="C10" s="90" t="n">
        <x:v>157.781</x:v>
      </x:c>
      <x:c r="D10" s="90" t="str">
        <x:v>관측</x:v>
      </x:c>
      <x:c r="E10" s="90" t="n">
        <x:v>6</x:v>
      </x:c>
      <x:c r="F10" s="90" t="n">
        <x:v>1</x:v>
      </x:c>
      <x:c r="G10" s="90" t="n">
        <x:v>0</x:v>
      </x:c>
      <x:c r="H10" s="90" t="n">
        <x:v>0</x:v>
      </x:c>
      <x:c r="I10" s="90" t="n">
        <x:f>G10-H10</x:f>
        <x:v>0</x:v>
      </x:c>
      <x:c r="J10" s="90" t="n">
        <x:f>F10+I10</x:f>
        <x:v>1</x:v>
      </x:c>
      <x:c r="K10" s="90" t="n">
        <x:v>0</x:v>
      </x:c>
      <x:c r="L10" s="90" t="n">
        <x:f>J10+K10</x:f>
        <x:v>1</x:v>
      </x:c>
      <x:c r="M10" s="90" t="str">
        <x:v>9월 ME·과거 비ME 시설 그룹 근거 / 개별 슬롯 2월 가동 미확정</x:v>
      </x:c>
    </x:row>
    <x:row r="11" ht="33" customHeight="1">
      <x:c r="A11" s="90" t="str">
        <x:v>DOWN</x:v>
      </x:c>
      <x:c r="B11" s="90" t="str">
        <x:v>옥천휴게소</x:v>
      </x:c>
      <x:c r="C11" s="90" t="n">
        <x:v>160.433</x:v>
      </x:c>
      <x:c r="D11" s="90" t="str">
        <x:v>관측</x:v>
      </x:c>
      <x:c r="E11" s="90" t="n">
        <x:v>73</x:v>
      </x:c>
      <x:c r="F11" s="90" t="n">
        <x:v>2</x:v>
      </x:c>
      <x:c r="G11" s="90" t="n">
        <x:v>7</x:v>
      </x:c>
      <x:c r="H11" s="90" t="n">
        <x:v>0</x:v>
      </x:c>
      <x:c r="I11" s="90" t="n">
        <x:f>G11-H11</x:f>
        <x:v>7</x:v>
      </x:c>
      <x:c r="J11" s="90" t="n">
        <x:f>F11+I11</x:f>
        <x:v>9</x:v>
      </x:c>
      <x:c r="K11" s="90" t="n">
        <x:v>0</x:v>
      </x:c>
      <x:c r="L11" s="90" t="n">
        <x:f>J11+K11</x:f>
        <x:v>9</x:v>
      </x:c>
      <x:c r="M11" s="90" t="str">
        <x:v>9월 ME·과거 비ME 시설 그룹 근거 / 개별 슬롯 2월 가동 미확정</x:v>
      </x:c>
    </x:row>
    <x:row r="12" ht="33" customHeight="1">
      <x:c r="A12" s="90" t="str">
        <x:v>DOWN</x:v>
      </x:c>
      <x:c r="B12" s="90" t="str">
        <x:v>기존 선정 지점 11</x:v>
      </x:c>
      <x:c r="C12" s="90" t="n">
        <x:v>167.71</x:v>
      </x:c>
      <x:c r="D12" s="90" t="str">
        <x:v>관측</x:v>
      </x:c>
      <x:c r="E12" s="90" t="n">
        <x:v>265</x:v>
      </x:c>
      <x:c r="F12" s="90" t="n">
        <x:v>3</x:v>
      </x:c>
      <x:c r="G12" s="90" t="n">
        <x:v>0</x:v>
      </x:c>
      <x:c r="H12" s="90" t="n">
        <x:v>0</x:v>
      </x:c>
      <x:c r="I12" s="90" t="n">
        <x:f>G12-H12</x:f>
        <x:v>0</x:v>
      </x:c>
      <x:c r="J12" s="90" t="n">
        <x:f>F12+I12</x:f>
        <x:v>3</x:v>
      </x:c>
      <x:c r="K12" s="90" t="n">
        <x:v>0</x:v>
      </x:c>
      <x:c r="L12" s="90" t="n">
        <x:f>J12+K12</x:f>
        <x:v>3</x:v>
      </x:c>
      <x:c r="M12" s="90" t="str">
        <x:v>9월 ME·과거 비ME 시설 그룹 근거 / 개별 슬롯 2월 가동 미확정</x:v>
      </x:c>
    </x:row>
    <x:row r="13" ht="33" customHeight="1">
      <x:c r="A13" s="90" t="str">
        <x:v>DOWN</x:v>
      </x:c>
      <x:c r="B13" s="90" t="str">
        <x:v>황간휴게소</x:v>
      </x:c>
      <x:c r="C13" s="90" t="n">
        <x:v>186.195</x:v>
      </x:c>
      <x:c r="D13" s="90" t="str">
        <x:v>미관측</x:v>
      </x:c>
      <x:c r="E13" s="90"/>
      <x:c r="F13" s="90" t="n">
        <x:v>0</x:v>
      </x:c>
      <x:c r="G13" s="90" t="n">
        <x:v>5</x:v>
      </x:c>
      <x:c r="H13" s="90" t="n">
        <x:v>0</x:v>
      </x:c>
      <x:c r="I13" s="90" t="n">
        <x:f>G13-H13</x:f>
        <x:v>5</x:v>
      </x:c>
      <x:c r="J13" s="90" t="n">
        <x:f>F13+I13</x:f>
        <x:v>5</x:v>
      </x:c>
      <x:c r="K13" s="90" t="n">
        <x:v>0</x:v>
      </x:c>
      <x:c r="L13" s="90" t="n">
        <x:f>J13+K13</x:f>
        <x:v>5</x:v>
      </x:c>
      <x:c r="M13" s="90" t="str">
        <x:v>2월 ME 이력 미관측(N/A)·설비 존재 0 아님</x:v>
      </x:c>
    </x:row>
    <x:row r="14" ht="33" customHeight="1">
      <x:c r="A14" s="90" t="str">
        <x:v>DOWN</x:v>
      </x:c>
      <x:c r="B14" s="90" t="str">
        <x:v>추풍령휴게소</x:v>
      </x:c>
      <x:c r="C14" s="90" t="n">
        <x:v>202.915</x:v>
      </x:c>
      <x:c r="D14" s="90" t="str">
        <x:v>관측</x:v>
      </x:c>
      <x:c r="E14" s="90" t="n">
        <x:v>199</x:v>
      </x:c>
      <x:c r="F14" s="90" t="n">
        <x:v>4</x:v>
      </x:c>
      <x:c r="G14" s="90" t="n">
        <x:v>6</x:v>
      </x:c>
      <x:c r="H14" s="90" t="n">
        <x:v>4</x:v>
      </x:c>
      <x:c r="I14" s="90" t="n">
        <x:f>G14-H14</x:f>
        <x:v>2</x:v>
      </x:c>
      <x:c r="J14" s="90" t="n">
        <x:f>F14+I14</x:f>
        <x:v>6</x:v>
      </x:c>
      <x:c r="K14" s="90" t="n">
        <x:v>0</x:v>
      </x:c>
      <x:c r="L14" s="90" t="n">
        <x:f>J14+K14</x:f>
        <x:v>6</x:v>
      </x:c>
      <x:c r="M14" s="90" t="str">
        <x:v>9월 ME·과거 비ME 시설 그룹 근거 / 개별 슬롯 2월 가동 미확정</x:v>
      </x:c>
    </x:row>
    <x:row r="15" ht="33" customHeight="1">
      <x:c r="A15" s="90" t="str">
        <x:v>DOWN</x:v>
      </x:c>
      <x:c r="B15" s="90" t="str">
        <x:v>김천휴게소</x:v>
      </x:c>
      <x:c r="C15" s="90" t="n">
        <x:v>222.066</x:v>
      </x:c>
      <x:c r="D15" s="90" t="str">
        <x:v>관측</x:v>
      </x:c>
      <x:c r="E15" s="90" t="n">
        <x:v>382</x:v>
      </x:c>
      <x:c r="F15" s="90" t="n">
        <x:v>6</x:v>
      </x:c>
      <x:c r="G15" s="90" t="n">
        <x:v>0</x:v>
      </x:c>
      <x:c r="H15" s="90" t="n">
        <x:v>0</x:v>
      </x:c>
      <x:c r="I15" s="90" t="n">
        <x:f>G15-H15</x:f>
        <x:v>0</x:v>
      </x:c>
      <x:c r="J15" s="90" t="n">
        <x:f>F15+I15</x:f>
        <x:v>6</x:v>
      </x:c>
      <x:c r="K15" s="90" t="n">
        <x:v>0</x:v>
      </x:c>
      <x:c r="L15" s="90" t="n">
        <x:f>J15+K15</x:f>
        <x:v>6</x:v>
      </x:c>
      <x:c r="M15" s="90" t="str">
        <x:v>9월 ME·과거 비ME 시설 그룹 근거 / 개별 슬롯 2월 가동 미확정</x:v>
      </x:c>
    </x:row>
    <x:row r="16" ht="33" customHeight="1">
      <x:c r="A16" s="90" t="str">
        <x:v>DOWN</x:v>
      </x:c>
      <x:c r="B16" s="90" t="str">
        <x:v>칠곡휴게소</x:v>
      </x:c>
      <x:c r="C16" s="90" t="n">
        <x:v>257.481</x:v>
      </x:c>
      <x:c r="D16" s="90" t="str">
        <x:v>관측</x:v>
      </x:c>
      <x:c r="E16" s="90" t="n">
        <x:v>1073</x:v>
      </x:c>
      <x:c r="F16" s="90" t="n">
        <x:v>3</x:v>
      </x:c>
      <x:c r="G16" s="90" t="n">
        <x:v>6</x:v>
      </x:c>
      <x:c r="H16" s="90" t="n">
        <x:v>0</x:v>
      </x:c>
      <x:c r="I16" s="90" t="n">
        <x:f>G16-H16</x:f>
        <x:v>6</x:v>
      </x:c>
      <x:c r="J16" s="90" t="n">
        <x:f>F16+I16</x:f>
        <x:v>9</x:v>
      </x:c>
      <x:c r="K16" s="90" t="n">
        <x:v>0</x:v>
      </x:c>
      <x:c r="L16" s="90" t="n">
        <x:f>J16+K16</x:f>
        <x:v>9</x:v>
      </x:c>
      <x:c r="M16" s="90" t="str">
        <x:v>9월 ME·과거 비ME 시설 그룹 근거 / 개별 슬롯 2월 가동 미확정</x:v>
      </x:c>
    </x:row>
    <x:row r="17" ht="33" customHeight="1">
      <x:c r="A17" s="90" t="str">
        <x:v>DOWN</x:v>
      </x:c>
      <x:c r="B17" s="90" t="str">
        <x:v>평사휴게소</x:v>
      </x:c>
      <x:c r="C17" s="90" t="n">
        <x:v>310.002</x:v>
      </x:c>
      <x:c r="D17" s="90" t="str">
        <x:v>관측</x:v>
      </x:c>
      <x:c r="E17" s="90" t="n">
        <x:v>428</x:v>
      </x:c>
      <x:c r="F17" s="90" t="n">
        <x:v>4</x:v>
      </x:c>
      <x:c r="G17" s="90" t="n">
        <x:v>0</x:v>
      </x:c>
      <x:c r="H17" s="90" t="n">
        <x:v>0</x:v>
      </x:c>
      <x:c r="I17" s="90" t="n">
        <x:f>G17-H17</x:f>
        <x:v>0</x:v>
      </x:c>
      <x:c r="J17" s="90" t="n">
        <x:f>F17+I17</x:f>
        <x:v>4</x:v>
      </x:c>
      <x:c r="K17" s="90" t="n">
        <x:v>1</x:v>
      </x:c>
      <x:c r="L17" s="90" t="n">
        <x:f>J17+K17</x:f>
        <x:v>5</x:v>
      </x:c>
      <x:c r="M17" s="90" t="str">
        <x:v>피크차이 QC 보정 참고만, BASE에는 미포함</x:v>
      </x:c>
    </x:row>
    <x:row r="18" ht="33" customHeight="1">
      <x:c r="A18" s="90" t="str">
        <x:v>DOWN</x:v>
      </x:c>
      <x:c r="B18" s="90" t="str">
        <x:v>건천휴게소</x:v>
      </x:c>
      <x:c r="C18" s="90" t="n">
        <x:v>339.753</x:v>
      </x:c>
      <x:c r="D18" s="90" t="str">
        <x:v>관측</x:v>
      </x:c>
      <x:c r="E18" s="90" t="n">
        <x:v>748</x:v>
      </x:c>
      <x:c r="F18" s="90" t="n">
        <x:v>5</x:v>
      </x:c>
      <x:c r="G18" s="90" t="n">
        <x:v>0</x:v>
      </x:c>
      <x:c r="H18" s="90" t="n">
        <x:v>0</x:v>
      </x:c>
      <x:c r="I18" s="90" t="n">
        <x:f>G18-H18</x:f>
        <x:v>0</x:v>
      </x:c>
      <x:c r="J18" s="90" t="n">
        <x:f>F18+I18</x:f>
        <x:v>5</x:v>
      </x:c>
      <x:c r="K18" s="90" t="n">
        <x:v>0</x:v>
      </x:c>
      <x:c r="L18" s="90" t="n">
        <x:f>J18+K18</x:f>
        <x:v>5</x:v>
      </x:c>
      <x:c r="M18" s="90" t="str">
        <x:v>9월 ME·과거 비ME 시설 그룹 근거 / 개별 슬롯 2월 가동 미확정</x:v>
      </x:c>
    </x:row>
    <x:row r="19" ht="33" customHeight="1">
      <x:c r="A19" s="90" t="str">
        <x:v>DOWN</x:v>
      </x:c>
      <x:c r="B19" s="90" t="str">
        <x:v>경주휴게소</x:v>
      </x:c>
      <x:c r="C19" s="90" t="n">
        <x:v>357.053</x:v>
      </x:c>
      <x:c r="D19" s="90" t="str">
        <x:v>미관측</x:v>
      </x:c>
      <x:c r="E19" s="90"/>
      <x:c r="F19" s="90" t="n">
        <x:v>0</x:v>
      </x:c>
      <x:c r="G19" s="90" t="n">
        <x:v>9</x:v>
      </x:c>
      <x:c r="H19" s="90" t="n">
        <x:v>0</x:v>
      </x:c>
      <x:c r="I19" s="90" t="n">
        <x:f>G19-H19</x:f>
        <x:v>9</x:v>
      </x:c>
      <x:c r="J19" s="90" t="n">
        <x:f>F19+I19</x:f>
        <x:v>9</x:v>
      </x:c>
      <x:c r="K19" s="90" t="n">
        <x:v>0</x:v>
      </x:c>
      <x:c r="L19" s="90" t="n">
        <x:f>J19+K19</x:f>
        <x:v>9</x:v>
      </x:c>
      <x:c r="M19" s="90" t="str">
        <x:v>2월 ME 이력 미관측(N/A)·설비 존재 0 아님</x:v>
      </x:c>
    </x:row>
    <x:row r="20" ht="33" customHeight="1">
      <x:c r="A20" s="90" t="str">
        <x:v>DOWN</x:v>
      </x:c>
      <x:c r="B20" s="90" t="str">
        <x:v>통도사휴게소</x:v>
      </x:c>
      <x:c r="C20" s="90" t="n">
        <x:v>384.897</x:v>
      </x:c>
      <x:c r="D20" s="90" t="str">
        <x:v>관측</x:v>
      </x:c>
      <x:c r="E20" s="90" t="n">
        <x:v>205</x:v>
      </x:c>
      <x:c r="F20" s="90" t="n">
        <x:v>0</x:v>
      </x:c>
      <x:c r="G20" s="90" t="n">
        <x:v>10</x:v>
      </x:c>
      <x:c r="H20" s="90" t="n">
        <x:v>4</x:v>
      </x:c>
      <x:c r="I20" s="90" t="n">
        <x:f>G20-H20</x:f>
        <x:v>6</x:v>
      </x:c>
      <x:c r="J20" s="90" t="n">
        <x:f>F20+I20</x:f>
        <x:v>6</x:v>
      </x:c>
      <x:c r="K20" s="90" t="n">
        <x:v>0</x:v>
      </x:c>
      <x:c r="L20" s="90" t="n">
        <x:f>J20+K20</x:f>
        <x:v>6</x:v>
      </x:c>
      <x:c r="M20" s="90" t="str">
        <x:v>9월 ME·과거 비ME 시설 그룹 근거 / 개별 슬롯 2월 가동 미확정</x:v>
      </x:c>
    </x:row>
    <x:row r="21" ht="33" customHeight="1">
      <x:c r="A21" s="90" t="str">
        <x:v>UP</x:v>
      </x:c>
      <x:c r="B21" s="90" t="str">
        <x:v>양산휴게소</x:v>
      </x:c>
      <x:c r="C21" s="90" t="n">
        <x:v>10.199</x:v>
      </x:c>
      <x:c r="D21" s="90" t="str">
        <x:v>관측</x:v>
      </x:c>
      <x:c r="E21" s="90" t="n">
        <x:v>140</x:v>
      </x:c>
      <x:c r="F21" s="90" t="n">
        <x:v>0</x:v>
      </x:c>
      <x:c r="G21" s="90" t="n">
        <x:v>4</x:v>
      </x:c>
      <x:c r="H21" s="90" t="n">
        <x:v>0</x:v>
      </x:c>
      <x:c r="I21" s="90" t="n">
        <x:f>G21-H21</x:f>
        <x:v>4</x:v>
      </x:c>
      <x:c r="J21" s="90" t="n">
        <x:f>F21+I21</x:f>
        <x:v>4</x:v>
      </x:c>
      <x:c r="K21" s="90" t="n">
        <x:v>0</x:v>
      </x:c>
      <x:c r="L21" s="90" t="n">
        <x:f>J21+K21</x:f>
        <x:v>4</x:v>
      </x:c>
      <x:c r="M21" s="90" t="str">
        <x:v>9월 ME·과거 비ME 시설 그룹 근거 / 개별 슬롯 2월 가동 미확정</x:v>
      </x:c>
    </x:row>
    <x:row r="22" ht="33" customHeight="1">
      <x:c r="A22" s="90" t="str">
        <x:v>UP</x:v>
      </x:c>
      <x:c r="B22" s="90" t="str">
        <x:v>언양휴게소</x:v>
      </x:c>
      <x:c r="C22" s="90" t="n">
        <x:v>43.157</x:v>
      </x:c>
      <x:c r="D22" s="90" t="str">
        <x:v>관측</x:v>
      </x:c>
      <x:c r="E22" s="90" t="n">
        <x:v>53</x:v>
      </x:c>
      <x:c r="F22" s="90" t="n">
        <x:v>1</x:v>
      </x:c>
      <x:c r="G22" s="90" t="n">
        <x:v>10</x:v>
      </x:c>
      <x:c r="H22" s="90" t="n">
        <x:v>4</x:v>
      </x:c>
      <x:c r="I22" s="90" t="n">
        <x:f>G22-H22</x:f>
        <x:v>6</x:v>
      </x:c>
      <x:c r="J22" s="90" t="n">
        <x:f>F22+I22</x:f>
        <x:v>7</x:v>
      </x:c>
      <x:c r="K22" s="90" t="n">
        <x:v>0</x:v>
      </x:c>
      <x:c r="L22" s="90" t="n">
        <x:f>J22+K22</x:f>
        <x:v>7</x:v>
      </x:c>
      <x:c r="M22" s="90" t="str">
        <x:v>9월 ME·과거 비ME 시설 그룹 근거 / 개별 슬롯 2월 가동 미확정</x:v>
      </x:c>
    </x:row>
    <x:row r="23" ht="33" customHeight="1">
      <x:c r="A23" s="90" t="str">
        <x:v>UP</x:v>
      </x:c>
      <x:c r="B23" s="90" t="str">
        <x:v>건천휴게소</x:v>
      </x:c>
      <x:c r="C23" s="90" t="n">
        <x:v>75.322</x:v>
      </x:c>
      <x:c r="D23" s="90" t="str">
        <x:v>관측</x:v>
      </x:c>
      <x:c r="E23" s="90" t="n">
        <x:v>543</x:v>
      </x:c>
      <x:c r="F23" s="90" t="n">
        <x:v>2</x:v>
      </x:c>
      <x:c r="G23" s="90" t="n">
        <x:v>0</x:v>
      </x:c>
      <x:c r="H23" s="90" t="n">
        <x:v>0</x:v>
      </x:c>
      <x:c r="I23" s="90" t="n">
        <x:f>G23-H23</x:f>
        <x:v>0</x:v>
      </x:c>
      <x:c r="J23" s="90" t="n">
        <x:f>F23+I23</x:f>
        <x:v>2</x:v>
      </x:c>
      <x:c r="K23" s="90" t="n">
        <x:v>2</x:v>
      </x:c>
      <x:c r="L23" s="90" t="n">
        <x:f>J23+K23</x:f>
        <x:v>4</x:v>
      </x:c>
      <x:c r="M23" s="90" t="str">
        <x:v>피크차이 QC 보정 참고만, BASE에는 미포함</x:v>
      </x:c>
    </x:row>
    <x:row r="24" ht="33" customHeight="1">
      <x:c r="A24" s="90" t="str">
        <x:v>UP</x:v>
      </x:c>
      <x:c r="B24" s="90" t="str">
        <x:v>경산휴게소</x:v>
      </x:c>
      <x:c r="C24" s="90" t="n">
        <x:v>110.365</x:v>
      </x:c>
      <x:c r="D24" s="90" t="str">
        <x:v>관측</x:v>
      </x:c>
      <x:c r="E24" s="90" t="n">
        <x:v>387</x:v>
      </x:c>
      <x:c r="F24" s="90" t="n">
        <x:v>3</x:v>
      </x:c>
      <x:c r="G24" s="90" t="n">
        <x:v>0</x:v>
      </x:c>
      <x:c r="H24" s="90" t="n">
        <x:v>0</x:v>
      </x:c>
      <x:c r="I24" s="90" t="n">
        <x:f>G24-H24</x:f>
        <x:v>0</x:v>
      </x:c>
      <x:c r="J24" s="90" t="n">
        <x:f>F24+I24</x:f>
        <x:v>3</x:v>
      </x:c>
      <x:c r="K24" s="90" t="n">
        <x:v>1</x:v>
      </x:c>
      <x:c r="L24" s="90" t="n">
        <x:f>J24+K24</x:f>
        <x:v>4</x:v>
      </x:c>
      <x:c r="M24" s="90" t="str">
        <x:v>피크차이 QC 보정 참고만, BASE에는 미포함</x:v>
      </x:c>
    </x:row>
    <x:row r="25" ht="33" customHeight="1">
      <x:c r="A25" s="90" t="str">
        <x:v>UP</x:v>
      </x:c>
      <x:c r="B25" s="90" t="str">
        <x:v>칠곡휴게소</x:v>
      </x:c>
      <x:c r="C25" s="90" t="n">
        <x:v>156.749</x:v>
      </x:c>
      <x:c r="D25" s="90" t="str">
        <x:v>미관측</x:v>
      </x:c>
      <x:c r="E25" s="90"/>
      <x:c r="F25" s="90" t="n">
        <x:v>0</x:v>
      </x:c>
      <x:c r="G25" s="90" t="n">
        <x:v>8</x:v>
      </x:c>
      <x:c r="H25" s="90" t="n">
        <x:v>0</x:v>
      </x:c>
      <x:c r="I25" s="90" t="n">
        <x:f>G25-H25</x:f>
        <x:v>8</x:v>
      </x:c>
      <x:c r="J25" s="90" t="n">
        <x:f>F25+I25</x:f>
        <x:v>8</x:v>
      </x:c>
      <x:c r="K25" s="90" t="n">
        <x:v>0</x:v>
      </x:c>
      <x:c r="L25" s="90" t="n">
        <x:f>J25+K25</x:f>
        <x:v>8</x:v>
      </x:c>
      <x:c r="M25" s="90" t="str">
        <x:v>2월 ME 이력 미관측(N/A)·설비 존재 0 아님</x:v>
      </x:c>
    </x:row>
    <x:row r="26" ht="33" customHeight="1">
      <x:c r="A26" s="90" t="str">
        <x:v>UP</x:v>
      </x:c>
      <x:c r="B26" s="90" t="str">
        <x:v>김천휴게소</x:v>
      </x:c>
      <x:c r="C26" s="90" t="n">
        <x:v>193.086</x:v>
      </x:c>
      <x:c r="D26" s="90" t="str">
        <x:v>관측</x:v>
      </x:c>
      <x:c r="E26" s="90" t="n">
        <x:v>86</x:v>
      </x:c>
      <x:c r="F26" s="90" t="n">
        <x:v>3</x:v>
      </x:c>
      <x:c r="G26" s="90" t="n">
        <x:v>5</x:v>
      </x:c>
      <x:c r="H26" s="90" t="n">
        <x:v>0</x:v>
      </x:c>
      <x:c r="I26" s="90" t="n">
        <x:f>G26-H26</x:f>
        <x:v>5</x:v>
      </x:c>
      <x:c r="J26" s="90" t="n">
        <x:f>F26+I26</x:f>
        <x:v>8</x:v>
      </x:c>
      <x:c r="K26" s="90" t="n">
        <x:v>0</x:v>
      </x:c>
      <x:c r="L26" s="90" t="n">
        <x:f>J26+K26</x:f>
        <x:v>8</x:v>
      </x:c>
      <x:c r="M26" s="90" t="str">
        <x:v>9월 ME·과거 비ME 시설 그룹 근거 / 개별 슬롯 2월 가동 미확정</x:v>
      </x:c>
    </x:row>
    <x:row r="27" ht="33" customHeight="1">
      <x:c r="A27" s="90" t="str">
        <x:v>UP</x:v>
      </x:c>
      <x:c r="B27" s="90" t="str">
        <x:v>추풍령휴게소</x:v>
      </x:c>
      <x:c r="C27" s="90" t="n">
        <x:v>212.083</x:v>
      </x:c>
      <x:c r="D27" s="90" t="str">
        <x:v>관측</x:v>
      </x:c>
      <x:c r="E27" s="90" t="n">
        <x:v>321</x:v>
      </x:c>
      <x:c r="F27" s="90" t="n">
        <x:v>4</x:v>
      </x:c>
      <x:c r="G27" s="90" t="n">
        <x:v>6</x:v>
      </x:c>
      <x:c r="H27" s="90" t="n">
        <x:v>4</x:v>
      </x:c>
      <x:c r="I27" s="90" t="n">
        <x:f>G27-H27</x:f>
        <x:v>2</x:v>
      </x:c>
      <x:c r="J27" s="90" t="n">
        <x:f>F27+I27</x:f>
        <x:v>6</x:v>
      </x:c>
      <x:c r="K27" s="90" t="n">
        <x:v>0</x:v>
      </x:c>
      <x:c r="L27" s="90" t="n">
        <x:f>J27+K27</x:f>
        <x:v>6</x:v>
      </x:c>
      <x:c r="M27" s="90" t="str">
        <x:v>9월 ME·과거 비ME 시설 그룹 근거 / 개별 슬롯 2월 가동 미확정</x:v>
      </x:c>
    </x:row>
    <x:row r="28" ht="33" customHeight="1">
      <x:c r="A28" s="90" t="str">
        <x:v>UP</x:v>
      </x:c>
      <x:c r="B28" s="90" t="str">
        <x:v>황간휴게소</x:v>
      </x:c>
      <x:c r="C28" s="90" t="n">
        <x:v>228.9</x:v>
      </x:c>
      <x:c r="D28" s="90" t="str">
        <x:v>관측</x:v>
      </x:c>
      <x:c r="E28" s="90" t="n">
        <x:v>359</x:v>
      </x:c>
      <x:c r="F28" s="90" t="n">
        <x:v>6</x:v>
      </x:c>
      <x:c r="G28" s="90" t="n">
        <x:v>0</x:v>
      </x:c>
      <x:c r="H28" s="90" t="n">
        <x:v>0</x:v>
      </x:c>
      <x:c r="I28" s="90" t="n">
        <x:f>G28-H28</x:f>
        <x:v>0</x:v>
      </x:c>
      <x:c r="J28" s="90" t="n">
        <x:f>F28+I28</x:f>
        <x:v>6</x:v>
      </x:c>
      <x:c r="K28" s="90" t="n">
        <x:v>0</x:v>
      </x:c>
      <x:c r="L28" s="90" t="n">
        <x:f>J28+K28</x:f>
        <x:v>6</x:v>
      </x:c>
      <x:c r="M28" s="90" t="str">
        <x:v>9월 ME·과거 비ME 시설 그룹 근거 / 개별 슬롯 2월 가동 미확정</x:v>
      </x:c>
    </x:row>
    <x:row r="29" ht="33" customHeight="1">
      <x:c r="A29" s="90" t="str">
        <x:v>UP</x:v>
      </x:c>
      <x:c r="B29" s="90" t="str">
        <x:v>옥천휴게소</x:v>
      </x:c>
      <x:c r="C29" s="90" t="n">
        <x:v>254.396</x:v>
      </x:c>
      <x:c r="D29" s="90" t="str">
        <x:v>미관측</x:v>
      </x:c>
      <x:c r="E29" s="90"/>
      <x:c r="F29" s="90" t="n">
        <x:v>0</x:v>
      </x:c>
      <x:c r="G29" s="90" t="n">
        <x:v>7</x:v>
      </x:c>
      <x:c r="H29" s="90" t="n">
        <x:v>0</x:v>
      </x:c>
      <x:c r="I29" s="90" t="n">
        <x:f>G29-H29</x:f>
        <x:v>7</x:v>
      </x:c>
      <x:c r="J29" s="90" t="n">
        <x:f>F29+I29</x:f>
        <x:v>7</x:v>
      </x:c>
      <x:c r="K29" s="90" t="n">
        <x:v>0</x:v>
      </x:c>
      <x:c r="L29" s="90" t="n">
        <x:f>J29+K29</x:f>
        <x:v>7</x:v>
      </x:c>
      <x:c r="M29" s="90" t="str">
        <x:v>2월 ME 이력 미관측(N/A)·설비 존재 0 아님</x:v>
      </x:c>
    </x:row>
    <x:row r="30" ht="33" customHeight="1">
      <x:c r="A30" s="90" t="str">
        <x:v>UP</x:v>
      </x:c>
      <x:c r="B30" s="90" t="str">
        <x:v>신탄진휴게소</x:v>
      </x:c>
      <x:c r="C30" s="90" t="n">
        <x:v>279.461</x:v>
      </x:c>
      <x:c r="D30" s="90" t="str">
        <x:v>관측</x:v>
      </x:c>
      <x:c r="E30" s="90" t="n">
        <x:v>893</x:v>
      </x:c>
      <x:c r="F30" s="90" t="n">
        <x:v>4</x:v>
      </x:c>
      <x:c r="G30" s="90" t="n">
        <x:v>3</x:v>
      </x:c>
      <x:c r="H30" s="90" t="n">
        <x:v>0</x:v>
      </x:c>
      <x:c r="I30" s="90" t="n">
        <x:f>G30-H30</x:f>
        <x:v>3</x:v>
      </x:c>
      <x:c r="J30" s="90" t="n">
        <x:f>F30+I30</x:f>
        <x:v>7</x:v>
      </x:c>
      <x:c r="K30" s="90" t="n">
        <x:v>0</x:v>
      </x:c>
      <x:c r="L30" s="90" t="n">
        <x:f>J30+K30</x:f>
        <x:v>7</x:v>
      </x:c>
      <x:c r="M30" s="90" t="str">
        <x:v>9월 ME·과거 비ME 시설 그룹 근거 / 개별 슬롯 2월 가동 미확정</x:v>
      </x:c>
    </x:row>
    <x:row r="31" ht="33" customHeight="1">
      <x:c r="A31" s="90" t="str">
        <x:v>UP</x:v>
      </x:c>
      <x:c r="B31" s="90" t="str">
        <x:v>죽암휴게소</x:v>
      </x:c>
      <x:c r="C31" s="90" t="n">
        <x:v>287.806</x:v>
      </x:c>
      <x:c r="D31" s="90" t="str">
        <x:v>관측</x:v>
      </x:c>
      <x:c r="E31" s="90" t="n">
        <x:v>733</x:v>
      </x:c>
      <x:c r="F31" s="90" t="n">
        <x:v>5</x:v>
      </x:c>
      <x:c r="G31" s="90" t="n">
        <x:v>0</x:v>
      </x:c>
      <x:c r="H31" s="90" t="n">
        <x:v>0</x:v>
      </x:c>
      <x:c r="I31" s="90" t="n">
        <x:f>G31-H31</x:f>
        <x:v>0</x:v>
      </x:c>
      <x:c r="J31" s="90" t="n">
        <x:f>F31+I31</x:f>
        <x:v>5</x:v>
      </x:c>
      <x:c r="K31" s="90" t="n">
        <x:v>1</x:v>
      </x:c>
      <x:c r="L31" s="90" t="n">
        <x:f>J31+K31</x:f>
        <x:v>6</x:v>
      </x:c>
      <x:c r="M31" s="90" t="str">
        <x:v>피크차이 QC 보정 참고만, BASE에는 미포함</x:v>
      </x:c>
    </x:row>
    <x:row r="32" ht="33" customHeight="1">
      <x:c r="A32" s="90" t="str">
        <x:v>UP</x:v>
      </x:c>
      <x:c r="B32" s="90" t="str">
        <x:v>청주휴게소</x:v>
      </x:c>
      <x:c r="C32" s="90" t="n">
        <x:v>315.216</x:v>
      </x:c>
      <x:c r="D32" s="90" t="str">
        <x:v>관측</x:v>
      </x:c>
      <x:c r="E32" s="90" t="n">
        <x:v>284</x:v>
      </x:c>
      <x:c r="F32" s="90" t="n">
        <x:v>4</x:v>
      </x:c>
      <x:c r="G32" s="90" t="n">
        <x:v>5</x:v>
      </x:c>
      <x:c r="H32" s="90" t="n">
        <x:v>0</x:v>
      </x:c>
      <x:c r="I32" s="90" t="n">
        <x:f>G32-H32</x:f>
        <x:v>5</x:v>
      </x:c>
      <x:c r="J32" s="90" t="n">
        <x:f>F32+I32</x:f>
        <x:v>9</x:v>
      </x:c>
      <x:c r="K32" s="90" t="n">
        <x:v>0</x:v>
      </x:c>
      <x:c r="L32" s="90" t="n">
        <x:f>J32+K32</x:f>
        <x:v>9</x:v>
      </x:c>
      <x:c r="M32" s="90" t="str">
        <x:v>9월 ME·과거 비ME 시설 그룹 근거 / 개별 슬롯 2월 가동 미확정</x:v>
      </x:c>
    </x:row>
    <x:row r="33" ht="33" customHeight="1">
      <x:c r="A33" s="90" t="str">
        <x:v>UP</x:v>
      </x:c>
      <x:c r="B33" s="90" t="str">
        <x:v>천안삼거리휴게소</x:v>
      </x:c>
      <x:c r="C33" s="90" t="n">
        <x:v>334.562</x:v>
      </x:c>
      <x:c r="D33" s="90" t="str">
        <x:v>관측</x:v>
      </x:c>
      <x:c r="E33" s="90" t="n">
        <x:v>1107</x:v>
      </x:c>
      <x:c r="F33" s="90" t="n">
        <x:v>6</x:v>
      </x:c>
      <x:c r="G33" s="90" t="n">
        <x:v>0</x:v>
      </x:c>
      <x:c r="H33" s="90" t="n">
        <x:v>0</x:v>
      </x:c>
      <x:c r="I33" s="90" t="n">
        <x:f>G33-H33</x:f>
        <x:v>0</x:v>
      </x:c>
      <x:c r="J33" s="90" t="n">
        <x:f>F33+I33</x:f>
        <x:v>6</x:v>
      </x:c>
      <x:c r="K33" s="90" t="n">
        <x:v>0</x:v>
      </x:c>
      <x:c r="L33" s="90" t="n">
        <x:f>J33+K33</x:f>
        <x:v>6</x:v>
      </x:c>
      <x:c r="M33" s="90" t="str">
        <x:v>9월 ME·과거 비ME 시설 그룹 근거 / 개별 슬롯 2월 가동 미확정</x:v>
      </x:c>
    </x:row>
    <x:row r="34" ht="33" customHeight="1">
      <x:c r="A34" s="90" t="str">
        <x:v>UP</x:v>
      </x:c>
      <x:c r="B34" s="90" t="str">
        <x:v>입장거봉포도휴게소</x:v>
      </x:c>
      <x:c r="C34" s="90" t="n">
        <x:v>352.28</x:v>
      </x:c>
      <x:c r="D34" s="90" t="str">
        <x:v>관측</x:v>
      </x:c>
      <x:c r="E34" s="90" t="n">
        <x:v>467</x:v>
      </x:c>
      <x:c r="F34" s="90" t="n">
        <x:v>5</x:v>
      </x:c>
      <x:c r="G34" s="90" t="n">
        <x:v>0</x:v>
      </x:c>
      <x:c r="H34" s="90" t="n">
        <x:v>0</x:v>
      </x:c>
      <x:c r="I34" s="90" t="n">
        <x:f>G34-H34</x:f>
        <x:v>0</x:v>
      </x:c>
      <x:c r="J34" s="90" t="n">
        <x:f>F34+I34</x:f>
        <x:v>5</x:v>
      </x:c>
      <x:c r="K34" s="90" t="n">
        <x:v>0</x:v>
      </x:c>
      <x:c r="L34" s="90" t="n">
        <x:f>J34+K34</x:f>
        <x:v>5</x:v>
      </x:c>
      <x:c r="M34" s="90" t="str">
        <x:v>9월 ME·과거 비ME 시설 그룹 근거 / 개별 슬롯 2월 가동 미확정</x:v>
      </x:c>
    </x:row>
    <x:row r="35" ht="33" customHeight="1">
      <x:c r="A35" s="90" t="str">
        <x:v>UP</x:v>
      </x:c>
      <x:c r="B35" s="90" t="str">
        <x:v>안성휴게소</x:v>
      </x:c>
      <x:c r="C35" s="90" t="n">
        <x:v>368.297</x:v>
      </x:c>
      <x:c r="D35" s="90" t="str">
        <x:v>관측</x:v>
      </x:c>
      <x:c r="E35" s="90" t="n">
        <x:v>480</x:v>
      </x:c>
      <x:c r="F35" s="90" t="n">
        <x:v>6</x:v>
      </x:c>
      <x:c r="G35" s="90" t="n">
        <x:v>6</x:v>
      </x:c>
      <x:c r="H35" s="90" t="n">
        <x:v>0</x:v>
      </x:c>
      <x:c r="I35" s="90" t="n">
        <x:f>G35-H35</x:f>
        <x:v>6</x:v>
      </x:c>
      <x:c r="J35" s="90" t="n">
        <x:f>F35+I35</x:f>
        <x:v>12</x:v>
      </x:c>
      <x:c r="K35" s="90" t="n">
        <x:v>0</x:v>
      </x:c>
      <x:c r="L35" s="90" t="n">
        <x:f>J35+K35</x:f>
        <x:v>12</x:v>
      </x:c>
      <x:c r="M35" s="90" t="str">
        <x:v>9월 ME·과거 비ME 시설 그룹 근거 / 개별 슬롯 2월 가동 미확정</x:v>
      </x:c>
    </x:row>
    <x:row r="36" ht="33" customHeight="1">
      <x:c r="A36" s="90" t="str">
        <x:v>UP</x:v>
      </x:c>
      <x:c r="B36" s="90" t="str">
        <x:v>죽전휴게소</x:v>
      </x:c>
      <x:c r="C36" s="90" t="n">
        <x:v>398.512</x:v>
      </x:c>
      <x:c r="D36" s="90" t="str">
        <x:v>관측</x:v>
      </x:c>
      <x:c r="E36" s="90" t="n">
        <x:v>724</x:v>
      </x:c>
      <x:c r="F36" s="90" t="n">
        <x:v>4</x:v>
      </x:c>
      <x:c r="G36" s="90" t="n">
        <x:v>4</x:v>
      </x:c>
      <x:c r="H36" s="90" t="n">
        <x:v>0</x:v>
      </x:c>
      <x:c r="I36" s="90" t="n">
        <x:f>G36-H36</x:f>
        <x:v>4</x:v>
      </x:c>
      <x:c r="J36" s="90" t="n">
        <x:f>F36+I36</x:f>
        <x:v>8</x:v>
      </x:c>
      <x:c r="K36" s="90" t="n">
        <x:v>0</x:v>
      </x:c>
      <x:c r="L36" s="90" t="n">
        <x:f>J36+K36</x:f>
        <x:v>8</x:v>
      </x:c>
      <x:c r="M36" s="90" t="str">
        <x:v>9월 ME·과거 비ME 시설 그룹 근거 / 개별 슬롯 2월 가동 미확정</x:v>
      </x:c>
    </x:row>
    <x:row r="37" ht="25" customHeight="1">
      <x:c r="A37" s="99" t="str">
        <x:v>총합</x:v>
      </x:c>
      <x:c r="B37" s="99"/>
      <x:c r="C37" s="99"/>
      <x:c r="D37" s="99"/>
      <x:c r="E37" s="99"/>
      <x:c r="F37" s="99" t="n">
        <x:f>SUM(F2:F36)</x:f>
        <x:v>95</x:v>
      </x:c>
      <x:c r="G37" s="99" t="n">
        <x:f>SUM(G2:G36)</x:f>
        <x:v>136</x:v>
      </x:c>
      <x:c r="H37" s="99" t="n">
        <x:f>SUM(H2:H36)</x:f>
        <x:v>16</x:v>
      </x:c>
      <x:c r="I37" s="99" t="n">
        <x:f>SUM(I2:I36)</x:f>
        <x:v>120</x:v>
      </x:c>
      <x:c r="J37" s="99" t="n">
        <x:f>SUM(J2:J36)</x:f>
        <x:v>215</x:v>
      </x:c>
      <x:c r="K37" s="99" t="n">
        <x:f>SUM(K2:K36)</x:f>
        <x:v>6</x:v>
      </x:c>
      <x:c r="L37" s="99" t="n">
        <x:f>SUM(L2:L36)</x:f>
        <x:v>221</x:v>
      </x:c>
      <x:c r="M37" s="99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7" hidden="0" customWidth="1"/>
    <x:col min="3" max="3" width="17" hidden="0" customWidth="1"/>
    <x:col min="4" max="4" width="36" hidden="0" customWidth="1"/>
    <x:col min="5" max="5" width="29" hidden="0" customWidth="1"/>
    <x:col min="6" max="6" width="39" hidden="0" customWidth="1"/>
    <x:col min="7" max="7" width="39" hidden="0" customWidth="1"/>
    <x:col min="8" max="8" width="39" hidden="0" customWidth="1"/>
  </x:cols>
  <x:sheetData>
    <x:row r="1" ht="36" customHeight="1">
      <x:c r="A1" s="102" t="str">
        <x:v>#64 · 최종 공급 채택 및 제외 판정 (BASE215)</x:v>
      </x:c>
    </x:row>
    <x:row r="2" ht="31" customHeight="1">
      <x:c r="A2" s="110" t="str">
        <x:v>핵심: 모델 포함/제외 결정의 확정 여부와 2026년 2월 실물 존재를 직접 증명했는지는 서로 다른 판단이다.</x:v>
      </x:c>
    </x:row>
    <x:row r="4" ht="32" customHeight="1">
      <x:c r="A4" s="106" t="str">
        <x:v>9월 API 대상</x:v>
      </x:c>
      <x:c r="B4" s="106" t="str">
        <x:v>레코드 수</x:v>
      </x:c>
      <x:c r="C4" s="106" t="str">
        <x:v>BASE215 포함</x:v>
      </x:c>
      <x:c r="D4" s="106" t="str">
        <x:v>BASE215 제외</x:v>
      </x:c>
      <x:c r="E4" s="106" t="str">
        <x:v>모델 판정</x:v>
      </x:c>
      <x:c r="F4" s="106" t="str">
        <x:v>판정 근거</x:v>
      </x:c>
      <x:c r="G4" s="106" t="str">
        <x:v>직접 검증하지 못한 사실</x:v>
      </x:c>
      <x:c r="H4" s="106" t="str">
        <x:v>근거 문서</x:v>
      </x:c>
    </x:row>
    <x:row r="5" ht="62" customHeight="1">
      <x:c r="A5" s="90" t="str">
        <x:v>ME 9월 등록 대리값</x:v>
      </x:c>
      <x:c r="B5" s="90" t="n">
        <x:v>95</x:v>
      </x:c>
      <x:c r="C5" s="90" t="n">
        <x:v>95</x:v>
      </x:c>
      <x:c r="D5" s="90" t="n">
        <x:v>0</x:v>
      </x:c>
      <x:c r="E5" s="90" t="str">
        <x:v>포함 확정(대리값)</x:v>
      </x:c>
      <x:c r="F5" s="90" t="str">
        <x:v>ME 등록 95 · 2월 기록 29곳 관측</x:v>
      </x:c>
      <x:c r="G5" s="90" t="str">
        <x:v>2월 개별 95개 정상가동·동일 ID 미확정</x:v>
      </x:c>
      <x:c r="H5" s="90" t="str">
        <x:v>20261011 공급표·P0</x:v>
      </x:c>
    </x:row>
    <x:row r="6" ht="62" customHeight="1">
      <x:c r="A6" s="90" t="str">
        <x:v>설 이전 비ME 승용 후보</x:v>
      </x:c>
      <x:c r="B6" s="90" t="n">
        <x:v>120</x:v>
      </x:c>
      <x:c r="C6" s="90" t="n">
        <x:v>120</x:v>
      </x:c>
      <x:c r="D6" s="90" t="n">
        <x:v>0</x:v>
      </x:c>
      <x:c r="E6" s="90" t="str">
        <x:v>포함 확정(대리값)</x:v>
      </x:c>
      <x:c r="F6" s="90" t="str">
        <x:v>설 이전 시설 존재 근거 136 중 상용차 16 제외</x:v>
      </x:c>
      <x:c r="G6" s="90" t="str">
        <x:v>2월 개별 120개 정상가동 미확정</x:v>
      </x:c>
      <x:c r="H6" s="90" t="str">
        <x:v>20261010 역사적 증거</x:v>
      </x:c>
    </x:row>
    <x:row r="7" ht="62" customHeight="1">
      <x:c r="A7" s="90" t="str">
        <x:v>설 이후 조달·구축 일정</x:v>
      </x:c>
      <x:c r="B7" s="90" t="n">
        <x:v>42</x:v>
      </x:c>
      <x:c r="C7" s="90" t="n">
        <x:v>0</x:v>
      </x:c>
      <x:c r="D7" s="90" t="n">
        <x:v>42</x:v>
      </x:c>
      <x:c r="E7" s="90" t="str">
        <x:v>일정 기준에 따라 제외 확정</x:v>
      </x:c>
      <x:c r="F7" s="90" t="str">
        <x:v>설 연휴 뒤 2/23~4/10 조달 관련 일정</x:v>
      </x:c>
      <x:c r="G7" s="90" t="str">
        <x:v>개별 기기 개통일·물리적 부재 직접 확인 없음</x:v>
      </x:c>
      <x:c r="H7" s="90" t="str">
        <x:v>2026등록_51기</x:v>
      </x:c>
    </x:row>
    <x:row r="8" ht="62" customHeight="1">
      <x:c r="A8" s="90" t="str">
        <x:v>설 직전 취소 공고</x:v>
      </x:c>
      <x:c r="B8" s="90" t="n">
        <x:v>4</x:v>
      </x:c>
      <x:c r="C8" s="90" t="n">
        <x:v>0</x:v>
      </x:c>
      <x:c r="D8" s="90" t="n">
        <x:v>4</x:v>
      </x:c>
      <x:c r="E8" s="90" t="str">
        <x:v>취소 기준 제외 확정</x:v>
      </x:c>
      <x:c r="F8" s="90" t="str">
        <x:v>안성 DOWN ST · 2/06 공고, 2/11 취소</x:v>
      </x:c>
      <x:c r="G8" s="90" t="str">
        <x:v>실제 타 경로 구축·가동까지 부정하지 않음</x:v>
      </x:c>
      <x:c r="H8" s="90" t="str">
        <x:v>2026등록_51기</x:v>
      </x:c>
    </x:row>
    <x:row r="9" ht="62" customHeight="1">
      <x:c r="A9" s="90" t="str">
        <x:v>설 당시 설치 시점 미확정</x:v>
      </x:c>
      <x:c r="B9" s="90" t="n">
        <x:v>5</x:v>
      </x:c>
      <x:c r="C9" s="90" t="n">
        <x:v>0</x:v>
      </x:c>
      <x:c r="D9" s="90" t="n">
        <x:v>5</x:v>
      </x:c>
      <x:c r="E9" s="90" t="str">
        <x:v>보수적 기본 제외 확정</x:v>
      </x:c>
      <x:c r="F9" s="90" t="str">
        <x:v>김천 UP CV · 2/04 조달 관련 기록</x:v>
      </x:c>
      <x:c r="G9" s="90" t="str">
        <x:v>설 당시 개통/미개통 모두 미확정</x:v>
      </x:c>
      <x:c r="H9" s="90" t="str">
        <x:v>2026등록_51기</x:v>
      </x:c>
    </x:row>
    <x:row r="10" ht="62" customHeight="1">
      <x:c r="A10" s="90" t="str">
        <x:v>상용차 시설, 승용 접근 미확정</x:v>
      </x:c>
      <x:c r="B10" s="90" t="n">
        <x:v>16</x:v>
      </x:c>
      <x:c r="C10" s="90" t="n">
        <x:v>0</x:v>
      </x:c>
      <x:c r="D10" s="90" t="n">
        <x:v>16</x:v>
      </x:c>
      <x:c r="E10" s="90" t="str">
        <x:v>승용 대상 기본 제외 확정</x:v>
      </x:c>
      <x:c r="F10" s="90" t="str">
        <x:v>2024년 상용차 시설 개소 근거</x:v>
      </x:c>
      <x:c r="G10" s="90" t="str">
        <x:v>승용차 접근 가능 여부 미검증(시설 부재 아님)</x:v>
      </x:c>
      <x:c r="H10" s="90" t="str">
        <x:v>설비근거_136</x:v>
      </x:c>
    </x:row>
    <x:row r="11" ht="25" customHeight="1">
      <x:c r="A11" s="112" t="str">
        <x:v>합계 (모델 대리 슬롯/레코드)</x:v>
      </x:c>
      <x:c r="B11" s="112" t="n">
        <x:f>SUM(B5:B10)</x:f>
        <x:v>282</x:v>
      </x:c>
      <x:c r="C11" s="112" t="n">
        <x:f>SUM(C5:C10)</x:f>
        <x:v>215</x:v>
      </x:c>
      <x:c r="D11" s="112" t="n">
        <x:f>SUM(D5:D10)</x:f>
        <x:v>67</x:v>
      </x:c>
      <x:c r="E11" s="112"/>
      <x:c r="F11" s="112"/>
      <x:c r="G11" s="112"/>
      <x:c r="H11" s="112"/>
    </x:row>
    <x:row r="12" ht="25" customHeight="1">
      <x:c r="A12" s="112" t="str">
        <x:v>검산 (9월 API - 포함 - 제외)</x:v>
      </x:c>
      <x:c r="B12" s="112" t="n">
        <x:f>B11-C11-D11</x:f>
        <x:v>0</x:v>
      </x:c>
      <x:c r="C12" s="112"/>
      <x:c r="D12" s="112"/>
      <x:c r="E12" s="112"/>
      <x:c r="F12" s="112"/>
      <x:c r="G12" s="112"/>
      <x:c r="H12" s="112"/>
    </x:row>
    <x:row r="14" ht="31" customHeight="1">
      <x:c r="A14" s="110" t="str">
        <x:v>BASE215 = DOWN 112 + UP 103 = ME 95 + 비ME 120. PEAK221의 피크 정합 +6은 실물 입증이 없어 채택 안 함.</x:v>
      </x:c>
    </x:row>
    <x:row r="16" ht="32" customHeight="1">
      <x:c r="A16" s="106" t="str">
        <x:v>방향</x:v>
      </x:c>
      <x:c r="B16" s="106" t="str">
        <x:v>휴게소</x:v>
      </x:c>
      <x:c r="C16" s="106" t="str">
        <x:v>제외 레코드</x:v>
      </x:c>
      <x:c r="D16" s="106" t="str">
        <x:v>설 이후 일정 (조달/구축 관련)</x:v>
      </x:c>
    </x:row>
    <x:row r="17" ht="26" customHeight="1">
      <x:c r="A17" t="str">
        <x:v>DOWN</x:v>
      </x:c>
      <x:c r="B17" t="str">
        <x:v>김천휴게소</x:v>
      </x:c>
      <x:c r="C17" t="n">
        <x:v>8</x:v>
      </x:c>
      <x:c r="D17" t="str">
        <x:v>2026-02-23 조달 관련 기록</x:v>
      </x:c>
    </x:row>
    <x:row r="18" ht="26" customHeight="1">
      <x:c r="A18" t="str">
        <x:v>DOWN</x:v>
      </x:c>
      <x:c r="B18" t="str">
        <x:v>추풍령휴게소</x:v>
      </x:c>
      <x:c r="C18" t="n">
        <x:v>7</x:v>
      </x:c>
      <x:c r="D18" t="str">
        <x:v>2026-03-12 조달 관련 기록</x:v>
      </x:c>
    </x:row>
    <x:row r="19" ht="26" customHeight="1">
      <x:c r="A19" t="str">
        <x:v>DOWN</x:v>
      </x:c>
      <x:c r="B19" t="str">
        <x:v>칠곡휴게소</x:v>
      </x:c>
      <x:c r="C19" t="n">
        <x:v>9</x:v>
      </x:c>
      <x:c r="D19" t="str">
        <x:v>2026-03-12 조달 관련 기록</x:v>
      </x:c>
    </x:row>
    <x:row r="20" ht="26" customHeight="1">
      <x:c r="A20" t="str">
        <x:v>DOWN</x:v>
      </x:c>
      <x:c r="B20" t="str">
        <x:v>평사휴게소</x:v>
      </x:c>
      <x:c r="C20" t="n">
        <x:v>5</x:v>
      </x:c>
      <x:c r="D20" t="str">
        <x:v>2026-03-17 조달 관련 기록</x:v>
      </x:c>
    </x:row>
    <x:row r="21" ht="26" customHeight="1">
      <x:c r="A21" t="str">
        <x:v>UP</x:v>
      </x:c>
      <x:c r="B21" t="str">
        <x:v>경산휴게소</x:v>
      </x:c>
      <x:c r="C21" t="n">
        <x:v>5</x:v>
      </x:c>
      <x:c r="D21" t="str">
        <x:v>2026-04-01 조달 관련 기록</x:v>
      </x:c>
    </x:row>
    <x:row r="22" ht="26" customHeight="1">
      <x:c r="A22" t="str">
        <x:v>UP</x:v>
      </x:c>
      <x:c r="B22" t="str">
        <x:v>언양휴게소</x:v>
      </x:c>
      <x:c r="C22" t="n">
        <x:v>8</x:v>
      </x:c>
      <x:c r="D22" t="str">
        <x:v>2026-04-10 조달 관련 기록</x:v>
      </x:c>
    </x:row>
    <x:row r="23" ht="26" customHeight="1">
      <x:c r="A23" t="str">
        <x:v>설 이후 기준 제외 합계</x:v>
      </x:c>
      <x:c r="C23" t="n">
        <x:f>SUM(C17:C22)</x:f>
        <x:v>42</x:v>
      </x:c>
    </x:row>
    <x:row r="25" ht="33" customHeight="1">
      <x:c r="A25" s="115" t="str">
        <x:v>해석 금지: '42개가 2월에 없었다는 물리적 부재 실증' 또는 '215기가 설 내내 정상 가동했다'라는 표현.</x:v>
      </x:c>
    </x:row>
    <x:row r="27" ht="31" customHeight="1">
      <x:c r="A27" s="110" t="str">
        <x:v>추가 주의: 35개소 중 환경부 이력 미관측 6곳은 이용 0건이 아니고, 공급 표에서도 자동으로 0으로 바꾸지 않았다.</x:v>
      </x:c>
    </x:row>
  </x:sheetData>
  <x:mergeCells>
    <x:mergeCell ref="A1:H1"/>
    <x:mergeCell ref="A2:H2"/>
    <x:mergeCell ref="A14:H14"/>
    <x:mergeCell ref="A25:H25"/>
    <x:mergeCell ref="A27:H27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32" hidden="0" customWidth="1"/>
    <x:col min="7" max="7" width="54" hidden="0" customWidth="1"/>
    <x:col min="8" max="8" width="54" hidden="0" customWidth="1"/>
    <x:col min="9" max="9" width="54" hidden="0" customWidth="1"/>
  </x:cols>
  <x:sheetData>
    <x:row r="1" ht="36" customHeight="1">
      <x:c r="A1" s="102" t="str">
        <x:v>#64 · BASE215 10일 실측 오차 원인: 확인/가설 구분</x:v>
      </x:c>
    </x:row>
    <x:row r="2" ht="31" customHeight="1">
      <x:c r="A2" s="110" t="str">
        <x:v>이전 공급 선정(282→215)은 이미 적용됨. 아래의 원인은 '공급 선정 누락'이 아니라 모델 행동·운영사 범위·현실 검증 잔여 문제이다.</x:v>
      </x:c>
    </x:row>
    <x:row r="4" ht="32" customHeight="1">
      <x:c r="A4" s="106" t="str">
        <x:v>방향/범위</x:v>
      </x:c>
      <x:c r="B4" s="106" t="str">
        <x:v>휴게소·현상</x:v>
      </x:c>
      <x:c r="C4" s="106" t="str">
        <x:v>실측(건)</x:v>
      </x:c>
      <x:c r="D4" s="106" t="str">
        <x:v>ME모델(건)</x:v>
      </x:c>
      <x:c r="E4" s="106" t="str">
        <x:v>ALL모델(참고)</x:v>
      </x:c>
      <x:c r="F4" s="106" t="str">
        <x:v>오차 형태</x:v>
      </x:c>
      <x:c r="G4" s="106" t="str">
        <x:v>이미 확인된 근거</x:v>
      </x:c>
      <x:c r="H4" s="106" t="str">
        <x:v>현재 판단 / 증거 등급</x:v>
      </x:c>
      <x:c r="I4" s="106" t="str">
        <x:v>인과검증 추가여부</x:v>
      </x:c>
    </x:row>
    <x:row r="5" ht="72" customHeight="1">
      <x:c r="A5" s="90" t="str">
        <x:v>DOWN</x:v>
      </x:c>
      <x:c r="B5" s="90" t="str">
        <x:v>평사휴게소</x:v>
      </x:c>
      <x:c r="C5" s="90" t="n">
        <x:v>428</x:v>
      </x:c>
      <x:c r="D5" s="90" t="n">
        <x:v>1596</x:v>
      </x:c>
      <x:c r="E5" s="90" t="n">
        <x:v>1596</x:v>
      </x:c>
      <x:c r="F5" s="90" t="str">
        <x:v>ME/ALL 모두 큰 과대</x:v>
      </x:c>
      <x:c r="G5" s="90" t="str">
        <x:v>구형 50/100kW와 9월 대응 일부 불명; 피크5 vs BASE4</x:v>
      </x:c>
      <x:c r="H5" s="90" t="str">
        <x:v>관측된 과대배정(원인 미확정)</x:v>
      </x:c>
      <x:c r="I5" s="90" t="str">
        <x:v>우선 분석할 선택 편중·출력/입출구</x:v>
      </x:c>
    </x:row>
    <x:row r="6" ht="72" customHeight="1">
      <x:c r="A6" s="90" t="str">
        <x:v>DOWN</x:v>
      </x:c>
      <x:c r="B6" s="90" t="str">
        <x:v>칠곡휴게소</x:v>
      </x:c>
      <x:c r="C6" s="90" t="n">
        <x:v>1073</x:v>
      </x:c>
      <x:c r="D6" s="90" t="n">
        <x:v>106</x:v>
      </x:c>
      <x:c r="E6" s="90" t="n">
        <x:v>2396</x:v>
      </x:c>
      <x:c r="F6" s="90" t="str">
        <x:v>ME는 과소, ALL은 과대</x:v>
      </x:c>
      <x:c r="G6" s="90" t="str">
        <x:v>2월 50kW 전체서명 중첩27쌍; 9월 ME3 레코드</x:v>
      </x:c>
      <x:c r="H6" s="90" t="str">
        <x:v>ME 필터/과거설비 매핑 민감도 확인</x:v>
      </x:c>
      <x:c r="I6" s="90" t="str">
        <x:v>사업자 거래 범위의 실제 대응 미확정</x:v>
      </x:c>
    </x:row>
    <x:row r="7" ht="72" customHeight="1">
      <x:c r="A7" s="90" t="str">
        <x:v>UP</x:v>
      </x:c>
      <x:c r="B7" s="90" t="str">
        <x:v>죽암휴게소</x:v>
      </x:c>
      <x:c r="C7" s="90" t="n">
        <x:v>733</x:v>
      </x:c>
      <x:c r="D7" s="90" t="n">
        <x:v>11</x:v>
      </x:c>
      <x:c r="E7" s="90" t="n">
        <x:v>11</x:v>
      </x:c>
      <x:c r="F7" s="90" t="str">
        <x:v>ME/ALL 모두 극소</x:v>
      </x:c>
      <x:c r="G7" s="90" t="str">
        <x:v>2/17 후보480→선택2; 대안 계획 비용 우위</x:v>
      </x:c>
      <x:c r="H7" s="90" t="str">
        <x:v>선택 비용 메커니즘 1일 사례 확인</x:v>
      </x:c>
      <x:c r="I7" s="90" t="str">
        <x:v>10일 인과 기여량 미확정</x:v>
      </x:c>
    </x:row>
    <x:row r="8" ht="72" customHeight="1">
      <x:c r="A8" s="90" t="str">
        <x:v>UP</x:v>
      </x:c>
      <x:c r="B8" s="90" t="str">
        <x:v>추풍령휴게소</x:v>
      </x:c>
      <x:c r="C8" s="90" t="n">
        <x:v>321</x:v>
      </x:c>
      <x:c r="D8" s="90" t="n">
        <x:v>1029</x:v>
      </x:c>
      <x:c r="E8" s="90" t="n">
        <x:v>1342</x:v>
      </x:c>
      <x:c r="F8" s="90" t="str">
        <x:v>ME/ALL 모두 큰 과대</x:v>
      </x:c>
      <x:c r="G8" s="90" t="str">
        <x:v>기존 자료에 직접 설명한 선택원인 없음</x:v>
      </x:c>
      <x:c r="H8" s="90" t="str">
        <x:v>과대배정 확인·원인 미확정</x:v>
      </x:c>
      <x:c r="I8" s="90" t="str">
        <x:v>출력/도착시각/후보 계획 분해 필요</x:v>
      </x:c>
    </x:row>
    <x:row r="9" ht="72" customHeight="1">
      <x:c r="A9" s="90" t="str">
        <x:v>UP</x:v>
      </x:c>
      <x:c r="B9" s="90" t="str">
        <x:v>죽전휴게소</x:v>
      </x:c>
      <x:c r="C9" s="90" t="n">
        <x:v>724</x:v>
      </x:c>
      <x:c r="D9" s="90" t="n">
        <x:v>29</x:v>
      </x:c>
      <x:c r="E9" s="90" t="n">
        <x:v>29</x:v>
      </x:c>
      <x:c r="F9" s="90" t="str">
        <x:v>ME/ALL 모두 극소</x:v>
      </x:c>
      <x:c r="G9" s="90" t="str">
        <x:v>2/17 후보441→선택0, 안성 우위233/죽전 우위2/동률206</x:v>
      </x:c>
      <x:c r="H9" s="90" t="str">
        <x:v>선택 비용 메커니즘 1일 사례 확인</x:v>
      </x:c>
      <x:c r="I9" s="90" t="str">
        <x:v>10일 전체 선택 편중 기여량 미확정</x:v>
      </x:c>
    </x:row>
    <x:row r="10" ht="72" customHeight="1">
      <x:c r="A10" s="90" t="str">
        <x:v>UP</x:v>
      </x:c>
      <x:c r="B10" s="90" t="str">
        <x:v>안성휴게소</x:v>
      </x:c>
      <x:c r="C10" s="90" t="n">
        <x:v>480</x:v>
      </x:c>
      <x:c r="D10" s="90" t="n">
        <x:v>6</x:v>
      </x:c>
      <x:c r="E10" s="90" t="n">
        <x:v>2406</x:v>
      </x:c>
      <x:c r="F10" s="90" t="str">
        <x:v>ME는 극소, ALL은 크게 과대</x:v>
      </x:c>
      <x:c r="G10" s="90" t="str">
        <x:v>가상 260kW NONME 4슬롯에 집중, MAX_POWER_IDLE 규칙 확인</x:v>
      </x:c>
      <x:c r="H10" s="90" t="str">
        <x:v>운영사 대리분류와 출력 우선 선택 중요</x:v>
      </x:c>
      <x:c r="I10" s="90" t="str">
        <x:v>실제 운영사·이용 모집단 대응 미확정</x:v>
      </x:c>
    </x:row>
    <x:row r="11" ht="72" customHeight="1">
      <x:c r="A11" s="90" t="str">
        <x:v>DOWN</x:v>
      </x:c>
      <x:c r="B11" s="90" t="str">
        <x:v>천안호두휴게소</x:v>
      </x:c>
      <x:c r="C11" s="90" t="n">
        <x:v>393</x:v>
      </x:c>
      <x:c r="D11" s="90" t="n">
        <x:v>1</x:v>
      </x:c>
      <x:c r="E11" s="90" t="n">
        <x:v>285</x:v>
      </x:c>
      <x:c r="F11" s="90" t="str">
        <x:v>ME 극소, ALL은 일부 증가</x:v>
      </x:c>
      <x:c r="G11" s="90" t="str">
        <x:v>2월 멀티/단독 장비 과거 이력 vs 9월 ME2 대응 불완전</x:v>
      </x:c>
      <x:c r="H11" s="90" t="str">
        <x:v>ME 필터·구형 설비 매핑 민감도</x:v>
      </x:c>
      <x:c r="I11" s="90" t="str">
        <x:v>개별 기기 동일성 미확정</x:v>
      </x:c>
    </x:row>
    <x:row r="12" ht="72" customHeight="1">
      <x:c r="A12" s="90" t="str">
        <x:v>UP</x:v>
      </x:c>
      <x:c r="B12" s="90" t="str">
        <x:v>양산휴게소</x:v>
      </x:c>
      <x:c r="C12" s="90" t="n">
        <x:v>140</x:v>
      </x:c>
      <x:c r="D12" s="90" t="n">
        <x:v>0</x:v>
      </x:c>
      <x:c r="E12" s="90" t="n">
        <x:v>310</x:v>
      </x:c>
      <x:c r="F12" s="90" t="str">
        <x:v>ME 0, ALL 310</x:v>
      </x:c>
      <x:c r="G12" s="90" t="str">
        <x:v>2월 ME 제공 이력 140, 9월 ME0/KP4</x:v>
      </x:c>
      <x:c r="H12" s="90" t="str">
        <x:v>9월 ME0을 실제 2월 미가동으로 읽으면 오류</x:v>
      </x:c>
      <x:c r="I12" s="90" t="str">
        <x:v>실제 운영사 이력 미확정</x:v>
      </x:c>
    </x:row>
    <x:row r="13" ht="72" customHeight="1">
      <x:c r="A13" s="90" t="str">
        <x:v>DOWN</x:v>
      </x:c>
      <x:c r="B13" s="90" t="str">
        <x:v>통도사휴게소</x:v>
      </x:c>
      <x:c r="C13" s="90" t="n">
        <x:v>205</x:v>
      </x:c>
      <x:c r="D13" s="90" t="n">
        <x:v>0</x:v>
      </x:c>
      <x:c r="E13" s="90" t="n">
        <x:v>58</x:v>
      </x:c>
      <x:c r="F13" s="90" t="str">
        <x:v>ME 0, ALL 58</x:v>
      </x:c>
      <x:c r="G13" s="90" t="str">
        <x:v>2월 50kW 세션 205, 9월 ME0</x:v>
      </x:c>
      <x:c r="H13" s="90" t="str">
        <x:v>옛 설비/9월 사업자 구성 차이 확인</x:v>
      </x:c>
      <x:c r="I13" s="90" t="str">
        <x:v>해당 2월 운영주체 직접 대조 필요</x:v>
      </x:c>
    </x:row>
    <x:row r="14" ht="72" customHeight="1">
      <x:c r="A14" s="90" t="str">
        <x:v>UP</x:v>
      </x:c>
      <x:c r="B14" s="90" t="str">
        <x:v>청주휴게소</x:v>
      </x:c>
      <x:c r="C14" s="90" t="n">
        <x:v>284</x:v>
      </x:c>
      <x:c r="D14" s="90" t="n">
        <x:v>1</x:v>
      </x:c>
      <x:c r="E14" s="90" t="n">
        <x:v>917</x:v>
      </x:c>
      <x:c r="F14" s="90" t="str">
        <x:v>ME 극소, ALL 과대</x:v>
      </x:c>
      <x:c r="G14" s="90" t="str">
        <x:v>현재 확인된 추가 장비 감사 자료 없음</x:v>
      </x:c>
      <x:c r="H14" s="90" t="str">
        <x:v>운영사 분류 민감도 확인</x:v>
      </x:c>
      <x:c r="I14" s="90" t="str">
        <x:v>기기/선택 기여 미분해</x:v>
      </x:c>
    </x:row>
    <x:row r="15" ht="72" customHeight="1">
      <x:c r="A15" s="90" t="str">
        <x:v>DOWN</x:v>
      </x:c>
      <x:c r="B15" s="90" t="str">
        <x:v>금강휴게소</x:v>
      </x:c>
      <x:c r="C15" s="90" t="n">
        <x:v>265</x:v>
      </x:c>
      <x:c r="D15" s="90" t="n">
        <x:v>13</x:v>
      </x:c>
      <x:c r="E15" s="90" t="n">
        <x:v>13</x:v>
      </x:c>
      <x:c r="F15" s="90" t="str">
        <x:v>ME/ALL 모두 과소</x:v>
      </x:c>
      <x:c r="G15" s="90" t="str">
        <x:v>기존 지점명 복원·에버온 6레코드 9월 후보 발견</x:v>
      </x:c>
      <x:c r="H15" s="90" t="str">
        <x:v>후보 6개 2월 가동 증거 없음; 자동 추가 금지</x:v>
      </x:c>
      <x:c r="I15" s="90" t="str">
        <x:v>위치/운영사·선택 증빙 필요</x:v>
      </x:c>
    </x:row>
    <x:row r="17" ht="32" customHeight="1">
      <x:c r="A17" s="106" t="str">
        <x:v>공통 원인 후보</x:v>
      </x:c>
      <x:c r="B17" s="106" t="str">
        <x:v>영향 범위</x:v>
      </x:c>
      <x:c r="C17" s="106" t="str">
        <x:v>10일 실측</x:v>
      </x:c>
      <x:c r="D17" s="106" t="str">
        <x:v>이번 모델</x:v>
      </x:c>
      <x:c r="E17" s="106" t="str">
        <x:v>확인 상태</x:v>
      </x:c>
      <x:c r="F17" s="106" t="str">
        <x:v>근거</x:v>
      </x:c>
      <x:c r="G17" s="106" t="str">
        <x:v>제외된 시나리오</x:v>
      </x:c>
      <x:c r="H17" s="106" t="str">
        <x:v>원인 판정</x:v>
      </x:c>
      <x:c r="I17" s="106" t="str">
        <x:v>검증 전제</x:v>
      </x:c>
    </x:row>
    <x:row r="18" ht="75" customHeight="1">
      <x:c r="A18" s="90" t="str">
        <x:v>충전시간/량</x:v>
      </x:c>
      <x:c r="B18" s="90" t="str">
        <x:v>관측29곳</x:v>
      </x:c>
      <x:c r="C18" s="90" t="str">
        <x:v>5,141.3h</x:v>
      </x:c>
      <x:c r="D18" s="90" t="str">
        <x:v>1,779.6h (ME)</x:v>
      </x:c>
      <x:c r="E18" s="90" t="str">
        <x:v>점유 과소 -65.39% 확인</x:v>
      </x:c>
      <x:c r="F18" s="90" t="str">
        <x:v>과거 단일 사례 23.4→10.6분</x:v>
      </x:c>
      <x:c r="G18" s="90" t="str">
        <x:v>habit_soc=0 (개선 미적용)</x:v>
      </x:c>
      <x:c r="H18" s="90" t="str">
        <x:v>짧은 충전량·SoC·출력·모집단 차이 기여 미분해</x:v>
      </x:c>
      <x:c r="I18" s="90" t="str">
        <x:v>같은 충전기/세션 범위 확보</x:v>
      </x:c>
    </x:row>
    <x:row r="19" ht="75" customHeight="1">
      <x:c r="A19" s="90" t="str">
        <x:v>목적지/수요</x:v>
      </x:c>
      <x:c r="B19" s="90" t="str">
        <x:v>양방향</x:v>
      </x:c>
      <x:c r="C19" s="90" t="str">
        <x:v>실측 세션</x:v>
      </x:c>
      <x:c r="D19" s="90" t="str">
        <x:v>OD=null</x:v>
      </x:c>
      <x:c r="E19" s="90" t="str">
        <x:v>#99 OD 개선 실험은 별도</x:v>
      </x:c>
      <x:c r="F19" s="90" t="str">
        <x:v>DOWN 통행거리 MAPE 53.0→8.1%</x:v>
      </x:c>
      <x:c r="G19" s="90" t="str">
        <x:v>#100 외부 통행 누락</x:v>
      </x:c>
      <x:c r="H19" s="90" t="str">
        <x:v>TCS OD 직접 적용을 정답으로 간주 금지</x:v>
      </x:c>
      <x:c r="I19" s="90" t="str">
        <x:v>기존 수요 가정의 영향 분리</x:v>
      </x:c>
    </x:row>
    <x:row r="20" ht="75" customHeight="1">
      <x:c r="A20" s="90" t="str">
        <x:v>시간대</x:v>
      </x:c>
      <x:c r="B20" s="90" t="str">
        <x:v>20 방향×일</x:v>
      </x:c>
      <x:c r="C20" s="90" t="str">
        <x:v>피크 차이</x:v>
      </x:c>
      <x:c r="D20" s="90" t="str">
        <x:v>±1h 4/20</x:v>
      </x:c>
      <x:c r="E20" s="90" t="str">
        <x:v>시각 불일치 관측</x:v>
      </x:c>
      <x:c r="F20" s="90" t="str">
        <x:v>hourly WAPE 98.66%</x:v>
      </x:c>
      <x:c r="G20" s="90" t="str">
        <x:v>fixed 80km/h, 일별 독립</x:v>
      </x:c>
      <x:c r="H20" s="90" t="str">
        <x:v>원인 불명; 도착·차량 선택·이월 영향 후보</x:v>
      </x:c>
      <x:c r="I20" s="90" t="str">
        <x:v>시간대별 수요·도착 재현</x:v>
      </x:c>
    </x:row>
    <x:row r="21" ht="75" customHeight="1">
      <x:c r="A21" s="90" t="str">
        <x:v>운영사 대응</x:v>
      </x:c>
      <x:c r="B21" s="90" t="str">
        <x:v>환경부 XLSX↔모델 ME</x:v>
      </x:c>
      <x:c r="C21" s="90" t="str">
        <x:v>11,405건</x:v>
      </x:c>
      <x:c r="D21" s="90" t="str">
        <x:v>8,413건</x:v>
      </x:c>
      <x:c r="E21" s="90" t="str">
        <x:v>ME 전용 실측 아님</x:v>
      </x:c>
      <x:c r="F21" s="90" t="str">
        <x:v>9월 운영사 대리 버킷 사용</x:v>
      </x:c>
      <x:c r="G21" s="90" t="str">
        <x:v>2월 원시 busiId 정합 미확인</x:v>
      </x:c>
      <x:c r="H21" s="90" t="str">
        <x:v>ME/ALL은 진단 축, 개선/실패 판정 금지</x:v>
      </x:c>
      <x:c r="I21" s="90" t="str">
        <x:v>2월 거래별 사업자 검증</x:v>
      </x:c>
    </x:row>
    <x:row r="22" ht="75" customHeight="1">
      <x:c r="A22" s="90" t="str">
        <x:v>공급기수</x:v>
      </x:c>
      <x:c r="B22" s="90" t="str">
        <x:v>35곳</x:v>
      </x:c>
      <x:c r="C22" s="90" t="str">
        <x:v>2월 일부 관측</x:v>
      </x:c>
      <x:c r="D22" s="90" t="str">
        <x:v>BASE215 적용 확인</x:v>
      </x:c>
      <x:c r="E22" s="90" t="str">
        <x:v>판정 완료 / 실제 가동수 미확정</x:v>
      </x:c>
      <x:c r="F22" s="90" t="str">
        <x:v>2026-09 282→제외67</x:v>
      </x:c>
      <x:c r="G22" s="90" t="str">
        <x:v>PEAK221 +6 미채택</x:v>
      </x:c>
      <x:c r="H22" s="90" t="str">
        <x:v>기기 조사 미반영이 오차 원인이라는 주장 부정</x:v>
      </x:c>
      <x:c r="I22" s="90" t="str">
        <x:v>당시 실물·포트 독립성 별개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30" hidden="0" customWidth="1"/>
    <x:col min="3" max="3" width="30" hidden="0" customWidth="1"/>
    <x:col min="4" max="4" width="27" hidden="0" customWidth="1"/>
    <x:col min="5" max="5" width="27" hidden="0" customWidth="1"/>
    <x:col min="6" max="6" width="46" hidden="0" customWidth="1"/>
    <x:col min="7" max="7" width="46" hidden="0" customWidth="1"/>
  </x:cols>
  <x:sheetData>
    <x:row r="1" ht="36" customHeight="1">
      <x:c r="A1" s="102" t="str">
        <x:v>#64 · 무엇이 검증 완료이고 무엇이 보류인가</x:v>
      </x:c>
    </x:row>
    <x:row r="3" ht="32" customHeight="1">
      <x:c r="A3" s="106" t="str">
        <x:v>검증 항목</x:v>
      </x:c>
      <x:c r="B3" s="106" t="str">
        <x:v>입력/관측</x:v>
      </x:c>
      <x:c r="C3" s="106" t="str">
        <x:v>모델/검사</x:v>
      </x:c>
      <x:c r="D3" s="106" t="str">
        <x:v>결과</x:v>
      </x:c>
      <x:c r="E3" s="106" t="str">
        <x:v>판정</x:v>
      </x:c>
      <x:c r="F3" s="106" t="str">
        <x:v>보류/주의</x:v>
      </x:c>
      <x:c r="G3" s="106" t="str">
        <x:v>근거</x:v>
      </x:c>
    </x:row>
    <x:row r="4" ht="52" customHeight="1">
      <x:c r="A4" s="90" t="str">
        <x:v>공급 레코드 총량</x:v>
      </x:c>
      <x:c r="B4" s="90" t="str">
        <x:v>2026-09 API 282</x:v>
      </x:c>
      <x:c r="C4" s="90" t="str">
        <x:v>BASE215 포함215+제외67</x:v>
      </x:c>
      <x:c r="D4" s="90" t="str">
        <x:v>282=215+67</x:v>
      </x:c>
      <x:c r="E4" s="90" t="str">
        <x:v>완료</x:v>
      </x:c>
      <x:c r="F4" s="90" t="str">
        <x:v>실물 2월 215기 확정 의미 아님</x:v>
      </x:c>
      <x:c r="G4" s="90" t="str">
        <x:v>공급표 35개</x:v>
      </x:c>
    </x:row>
    <x:row r="5" ht="52" customHeight="1">
      <x:c r="A5" s="90" t="str">
        <x:v>42 설 이후 일정 기준</x:v>
      </x:c>
      <x:c r="B5" s="90" t="str">
        <x:v>6개 지점 CV 42</x:v>
      </x:c>
      <x:c r="C5" s="90" t="str">
        <x:v>기간 종료후 2/23~4/10 조달</x:v>
      </x:c>
      <x:c r="D5" s="90" t="str">
        <x:v>42 제외</x:v>
      </x:c>
      <x:c r="E5" s="90" t="str">
        <x:v>모델 판정 확정</x:v>
      </x:c>
      <x:c r="F5" s="90" t="str">
        <x:v>실제 개통일은 별도 미확인</x:v>
      </x:c>
      <x:c r="G5" s="90" t="str">
        <x:v>2026등록_51기</x:v>
      </x:c>
    </x:row>
    <x:row r="6" ht="52" customHeight="1">
      <x:c r="A6" s="90" t="str">
        <x:v>4 공고 취소</x:v>
      </x:c>
      <x:c r="B6" s="90" t="str">
        <x:v>DOWN 안성 ST4</x:v>
      </x:c>
      <x:c r="C6" s="90" t="str">
        <x:v>2/11 취소 기록</x:v>
      </x:c>
      <x:c r="D6" s="90" t="str">
        <x:v>4 제외</x:v>
      </x:c>
      <x:c r="E6" s="90" t="str">
        <x:v>모델 판정 확정</x:v>
      </x:c>
      <x:c r="F6" s="90" t="str">
        <x:v>물리적 영구 부재 증명 아님</x:v>
      </x:c>
      <x:c r="G6" s="90" t="str">
        <x:v>2026등록_51기</x:v>
      </x:c>
    </x:row>
    <x:row r="7" ht="52" customHeight="1">
      <x:c r="A7" s="90" t="str">
        <x:v>5 설치 시점 미정</x:v>
      </x:c>
      <x:c r="B7" s="90" t="str">
        <x:v>UP 김천 CV5</x:v>
      </x:c>
      <x:c r="C7" s="90" t="str">
        <x:v>2/04 조달 자료만</x:v>
      </x:c>
      <x:c r="D7" s="90" t="str">
        <x:v>5 제외</x:v>
      </x:c>
      <x:c r="E7" s="90" t="str">
        <x:v>보수적 기본판정 확정</x:v>
      </x:c>
      <x:c r="F7" s="90" t="str">
        <x:v>2월 존재/부재 미확정</x:v>
      </x:c>
      <x:c r="G7" s="90" t="str">
        <x:v>2026등록_51기</x:v>
      </x:c>
    </x:row>
    <x:row r="8" ht="52" customHeight="1">
      <x:c r="A8" s="90" t="str">
        <x:v>16 상용차</x:v>
      </x:c>
      <x:c r="B8" s="90" t="str">
        <x:v>설 전 시설 근거</x:v>
      </x:c>
      <x:c r="C8" s="90" t="str">
        <x:v>승용 접근 미확인</x:v>
      </x:c>
      <x:c r="D8" s="90" t="str">
        <x:v>16 제외</x:v>
      </x:c>
      <x:c r="E8" s="90" t="str">
        <x:v>승용차 모델 판정 확정</x:v>
      </x:c>
      <x:c r="F8" s="90" t="str">
        <x:v>시설 자체가 없었다는 뜻 아님</x:v>
      </x:c>
      <x:c r="G8" s="90" t="str">
        <x:v>설비근거_136</x:v>
      </x:c>
    </x:row>
    <x:row r="9" ht="52" customHeight="1">
      <x:c r="A9" s="90" t="str">
        <x:v>UE 모델 공급 적용</x:v>
      </x:c>
      <x:c r="B9" s="90" t="str">
        <x:v>하행112·상행103</x:v>
      </x:c>
      <x:c r="C9" s="90" t="str">
        <x:v>ME95+NONME120</x:v>
      </x:c>
      <x:c r="D9" s="90" t="str">
        <x:v>215·가상ID 중복 없음</x:v>
      </x:c>
      <x:c r="E9" s="90" t="str">
        <x:v>완료</x:v>
      </x:c>
      <x:c r="F9" s="90" t="str">
        <x:v>실제 2월 운영사 분포와 별개</x:v>
      </x:c>
      <x:c r="G9" s="90" t="str">
        <x:v>runner·QA</x:v>
      </x:c>
    </x:row>
    <x:row r="10" ht="52" customHeight="1">
      <x:c r="A10" s="90" t="str">
        <x:v>날짜별 UE</x:v>
      </x:c>
      <x:c r="B10" s="90" t="str">
        <x:v>2/13~2/22 양방향</x:v>
      </x:c>
      <x:c r="C10" s="90" t="str">
        <x:v>독립 24h×20</x:v>
      </x:c>
      <x:c r="D10" s="90" t="str">
        <x:v>20실행(2재사용)</x:v>
      </x:c>
      <x:c r="E10" s="90" t="str">
        <x:v>완료</x:v>
      </x:c>
      <x:c r="F10" s="90" t="str">
        <x:v>연속 240h 시뮬레이션 아님</x:v>
      </x:c>
      <x:c r="G10" s="90" t="str">
        <x:v>validation_checks.json</x:v>
      </x:c>
    </x:row>
    <x:row r="11" ht="52" customHeight="1">
      <x:c r="A11" s="90" t="str">
        <x:v>실측 모집단</x:v>
      </x:c>
      <x:c r="B11" s="90" t="str">
        <x:v>35곳 중 29곳</x:v>
      </x:c>
      <x:c r="C11" s="90" t="str">
        <x:v>6곳 관측 누락 N/A</x:v>
      </x:c>
      <x:c r="D11" s="90" t="str">
        <x:v>11,405건</x:v>
      </x:c>
      <x:c r="E11" s="90" t="str">
        <x:v>관측 범위 검산</x:v>
      </x:c>
      <x:c r="F11" s="90" t="str">
        <x:v>실측 ME 사업자 전용 미입증</x:v>
      </x:c>
      <x:c r="G11" s="90" t="str">
        <x:v>실측 파일·QA</x:v>
      </x:c>
    </x:row>
    <x:row r="12" ht="52" customHeight="1">
      <x:c r="A12" s="90" t="str">
        <x:v>휴게소×일 오차</x:v>
      </x:c>
      <x:c r="B12" s="90" t="str">
        <x:v>290개 셀</x:v>
      </x:c>
      <x:c r="C12" s="90" t="str">
        <x:v>WAPE/MAPE</x:v>
      </x:c>
      <x:c r="D12" s="90" t="str">
        <x:v>78.49% / 93.31%</x:v>
      </x:c>
      <x:c r="E12" s="90" t="str">
        <x:v>산술 검산 완료</x:v>
      </x:c>
      <x:c r="F12" s="90" t="str">
        <x:v>실제 정확도 PASS/FAIL 아님</x:v>
      </x:c>
      <x:c r="G12" s="90" t="str">
        <x:v>07_10day...</x:v>
      </x:c>
    </x:row>
    <x:row r="13" ht="52" customHeight="1">
      <x:c r="A13" s="90" t="str">
        <x:v>휴게소×시간 오차</x:v>
      </x:c>
      <x:c r="B13" s="90" t="str">
        <x:v>6,960개 셀</x:v>
      </x:c>
      <x:c r="C13" s="90" t="str">
        <x:v>WAPE/MAPE</x:v>
      </x:c>
      <x:c r="D13" s="90" t="str">
        <x:v>98.66% / 101.60%</x:v>
      </x:c>
      <x:c r="E13" s="90" t="str">
        <x:v>산술 검산 완료</x:v>
      </x:c>
      <x:c r="F13" s="90" t="str">
        <x:v>0건 관측 셀은 MAPE 제외</x:v>
      </x:c>
      <x:c r="G13" s="90" t="str">
        <x:v>08_10day...</x:v>
      </x:c>
    </x:row>
    <x:row r="14" ht="52" customHeight="1">
      <x:c r="A14" s="90" t="str">
        <x:v>점유시간</x:v>
      </x:c>
      <x:c r="B14" s="90" t="str">
        <x:v>실측 5141.3h</x:v>
      </x:c>
      <x:c r="C14" s="90" t="str">
        <x:v>모델 ME 1779.6h</x:v>
      </x:c>
      <x:c r="D14" s="90" t="str">
        <x:v>-65.39% 편향</x:v>
      </x:c>
      <x:c r="E14" s="90" t="str">
        <x:v>과소현상 확인</x:v>
      </x:c>
      <x:c r="F14" s="90" t="str">
        <x:v>인과·사업자 정합 미확정</x:v>
      </x:c>
      <x:c r="G14" s="90" t="str">
        <x:v>08_10day...</x:v>
      </x:c>
    </x:row>
    <x:row r="15" ht="52" customHeight="1">
      <x:c r="A15" s="90" t="str">
        <x:v>물리 가동·대기시간</x:v>
      </x:c>
      <x:c r="B15" s="90" t="str">
        <x:v>실측 데이터 없음</x:v>
      </x:c>
      <x:c r="C15" s="90" t="str">
        <x:v>공급 proxy</x:v>
      </x:c>
      <x:c r="D15" s="90" t="str">
        <x:v>직접 대조 불가</x:v>
      </x:c>
      <x:c r="E15" s="90" t="str">
        <x:v>보류</x:v>
      </x:c>
      <x:c r="F15" s="90" t="str">
        <x:v>대기열/대기시간 검증 주장 금지</x:v>
      </x:c>
      <x:c r="G15" s="90" t="str">
        <x:v>#64 증거감사</x:v>
      </x:c>
    </x:row>
    <x:row r="17" ht="31" customHeight="1">
      <x:c r="A17" s="110" t="str">
        <x:v>판정 총괄: 자료 수집·BASE215 적용·20개 UE 집계·MAPE/WAPE 계산 완료. 현실 재현 타당성은 아직 PASS 확정 불가.</x:v>
      </x:c>
    </x:row>
  </x:sheetData>
  <x:mergeCells>
    <x:mergeCell ref="A1:G1"/>
    <x:mergeCell ref="A17:G17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9" hidden="0" customWidth="1"/>
    <x:col min="3" max="3" width="34" hidden="0" customWidth="1"/>
    <x:col min="4" max="4" width="32" hidden="0" customWidth="1"/>
    <x:col min="5" max="5" width="45" hidden="0" customWidth="1"/>
    <x:col min="6" max="6" width="34" hidden="0" customWidth="1"/>
    <x:col min="7" max="7" width="30" hidden="0" customWidth="1"/>
  </x:cols>
  <x:sheetData>
    <x:row r="1" ht="29" customHeight="1">
      <x:c r="A1" s="125" t="str">
        <x:v>원 완료조건/항목</x:v>
      </x:c>
      <x:c r="B1" s="125" t="str">
        <x:v>수행 내용</x:v>
      </x:c>
      <x:c r="C1" s="125" t="str">
        <x:v>판정</x:v>
      </x:c>
      <x:c r="D1" s="125" t="str">
        <x:v>이슈 종료 전 조치</x:v>
      </x:c>
      <x:c r="E1" s="125" t="str">
        <x:v>증빙 문서/경로</x:v>
      </x:c>
      <x:c r="F1" s="125" t="str">
        <x:v>미확정 범위</x:v>
      </x:c>
      <x:c r="G1" s="125" t="str">
        <x:v>비고</x:v>
      </x:c>
    </x:row>
    <x:row r="2" ht="55" customHeight="1">
      <x:c r="A2" s="126" t="str">
        <x:v>후보자료 조사</x:v>
      </x:c>
      <x:c r="B2" s="126" t="str">
        <x:v>환경부 충전이력, 9월 API, 과거 개소·조달 및 운영사 발표의 출처/기간/단위/한계 정리</x:v>
      </x:c>
      <x:c r="C2" s="126" t="str">
        <x:v>정리 완료</x:v>
      </x:c>
      <x:c r="D2" s="126" t="str">
        <x:v>링크 확인</x:v>
      </x:c>
      <x:c r="E2" s="126" t="str">
        <x:v>docs/sp3_64/ISSUE_64_CLOSEOUT_20261013.md §2</x:v>
      </x:c>
      <x:c r="F2" s="126" t="str">
        <x:v>자료별 모집단 차이</x:v>
      </x:c>
      <x:c r="G2" s="126" t="str">
        <x:v>재조사 필요 없음</x:v>
      </x:c>
    </x:row>
    <x:row r="3" ht="55" customHeight="1">
      <x:c r="A3" s="90" t="str">
        <x:v>2월 공급/불확실성</x:v>
      </x:c>
      <x:c r="B3" s="90" t="str">
        <x:v>282 - (42+4+5+16) = 215 / 35개소, DOWN112·UP103</x:v>
      </x:c>
      <x:c r="C3" s="90" t="str">
        <x:v>모델 채택 완료</x:v>
      </x:c>
      <x:c r="D3" s="90" t="str">
        <x:v>보고서·공급표 링크</x:v>
      </x:c>
      <x:c r="E3" s="90" t="str">
        <x:v>…closeout_20261013/sp3_64_supply_35sites_BASE215_PEAK221.csv</x:v>
      </x:c>
      <x:c r="F3" s="90" t="str">
        <x:v>215 실제 가동 기수 실증은 아님</x:v>
      </x:c>
      <x:c r="G3" s="90" t="str">
        <x:v>42개는 일정 기준 제외 확정</x:v>
      </x:c>
    </x:row>
    <x:row r="4" ht="55" customHeight="1">
      <x:c r="A4" s="126" t="str">
        <x:v>원시자료 보존</x:v>
      </x:c>
      <x:c r="B4" s="126" t="str">
        <x:v>2월 XLSX, 9월 API page JSON 원본 경로 파악</x:v>
      </x:c>
      <x:c r="C4" s="126" t="str">
        <x:v>PC 경로 미확인</x:v>
      </x:c>
      <x:c r="D4" s="126" t="str">
        <x:v>로컬 Test-Path 및 해시 확인</x:v>
      </x:c>
      <x:c r="E4" s="126" t="str">
        <x:v>data/raw/sp3_64/... / data/raw/highway_chargers_20260918_125202_all</x:v>
      </x:c>
      <x:c r="F4" s="126" t="str">
        <x:v>현재 파일 패키지에서 원본 미동봉</x:v>
      </x:c>
      <x:c r="G4" s="126" t="str">
        <x:v>GitHub에 raw 자동 추가하지 않음</x:v>
      </x:c>
    </x:row>
    <x:row r="5" ht="55" customHeight="1">
      <x:c r="A5" s="90" t="str">
        <x:v>가공자료 정제</x:v>
      </x:c>
      <x:c r="B5" s="90" t="str">
        <x:v>20개 UE 비교 CSV 10개, 관측 29개소, 290 일셀, 6960 시간셀</x:v>
      </x:c>
      <x:c r="C5" s="90" t="str">
        <x:v>산술 QA 완료</x:v>
      </x:c>
      <x:c r="D5" s="90" t="str">
        <x:v>프로젝트에 추가 후 경로 확인</x:v>
      </x:c>
      <x:c r="E5" s="90" t="str">
        <x:v>…closeout_20261013/01~10_*.csv, validation_checks.json</x:v>
      </x:c>
      <x:c r="F5" s="90" t="str">
        <x:v>환경부 운영사 전용 거래 여부 미확정</x:v>
      </x:c>
      <x:c r="G5" s="90" t="str">
        <x:v>6개 미관측은 N/A</x:v>
      </x:c>
    </x:row>
    <x:row r="6" ht="55" customHeight="1">
      <x:c r="A6" s="126" t="str">
        <x:v>검증 지표·통과 기준 제안</x:v>
      </x:c>
      <x:c r="B6" s="126" t="str">
        <x:v>WAPE/MAPE/Bias/시간대 피크 및 잠정 30%·±1h 제안</x:v>
      </x:c>
      <x:c r="C6" s="126" t="str">
        <x:v>제안 문서 완료</x:v>
      </x:c>
      <x:c r="D6" s="126" t="str">
        <x:v>팀 승인 여부 기록</x:v>
      </x:c>
      <x:c r="E6" s="126" t="str">
        <x:v>docs/sp3_64/ISSUE_64_CLOSEOUT_20261013.md §5</x:v>
      </x:c>
      <x:c r="F6" s="126" t="str">
        <x:v>외적 적합성 판정 보류</x:v>
      </x:c>
      <x:c r="G6" s="126" t="str">
        <x:v>사전등록 기준 아님</x:v>
      </x:c>
    </x:row>
    <x:row r="7" ht="55" customHeight="1">
      <x:c r="A7" s="90" t="str">
        <x:v>미확보자료/한계</x:v>
      </x:c>
      <x:c r="B7" s="90" t="str">
        <x:v>실측 대기시간·실제 독립 포트·사업자별 전체 거래·day carryover 한계</x:v>
      </x:c>
      <x:c r="C7" s="90" t="str">
        <x:v>문서화 완료</x:v>
      </x:c>
      <x:c r="D7" s="90" t="str">
        <x:v>결론 문구 확인</x:v>
      </x:c>
      <x:c r="E7" s="90" t="str">
        <x:v>docs/sp3_64/ISSUE_64_CLOSEOUT_20261013.md §6</x:v>
      </x:c>
      <x:c r="F7" s="90" t="str">
        <x:v>수집 불가 ≠ 이용 0</x:v>
      </x:c>
      <x:c r="G7" s="90" t="str">
        <x:v>2월 공급 재조사 불필요</x:v>
      </x:c>
    </x:row>
    <x:row r="8" ht="55" customHeight="1">
      <x:c r="A8" s="126" t="str">
        <x:v>20개 실행 오차 결과</x:v>
      </x:c>
      <x:c r="B8" s="126" t="str">
        <x:v>관측11405 / ME8413; 일 WAPE78.49 MAPE93.31, 시간 WAPE98.66 MAPE101.60</x:v>
      </x:c>
      <x:c r="C8" s="126" t="str">
        <x:v>산출·산술 QA 완료</x:v>
      </x:c>
      <x:c r="D8" s="126" t="str">
        <x:v>경로/표본 조건 명시</x:v>
      </x:c>
      <x:c r="E8" s="126" t="str">
        <x:v>…closeout_20261013/07,08_*.csv</x:v>
      </x:c>
      <x:c r="F8" s="126" t="str">
        <x:v>ME와 실측 운영사 모집단 정합 미확정</x:v>
      </x:c>
      <x:c r="G8" s="126" t="str">
        <x:v>독립 1일×20회</x:v>
      </x:c>
    </x:row>
    <x:row r="9" ht="55" customHeight="1">
      <x:c r="A9" s="90" t="str">
        <x:v>GitHub #64 처리</x:v>
      </x:c>
      <x:c r="B9" s="90" t="str">
        <x:v>완료조건 증빙과 종료 코멘트 초안 작성</x:v>
      </x:c>
      <x:c r="C9" s="90" t="str">
        <x:v>아직 미반영</x:v>
      </x:c>
      <x:c r="D9" s="90" t="str">
        <x:v>팀 확인 후 체크·링크·PR·Close</x:v>
      </x:c>
      <x:c r="E9" s="90" t="str">
        <x:v>docs/sp3_64/ISSUE_64_CLOSEOUT_COMMENT_DRAFT_20261013.md</x:v>
      </x:c>
      <x:c r="F9" s="90" t="str">
        <x:v>이슈 현재 Open</x:v>
      </x:c>
      <x:c r="G9" s="90" t="str">
        <x:v>도구로 자동 수정하지 않음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9" hidden="0" customWidth="1"/>
    <x:col min="3" max="3" width="34" hidden="0" customWidth="1"/>
    <x:col min="4" max="4" width="32" hidden="0" customWidth="1"/>
    <x:col min="5" max="5" width="45" hidden="0" customWidth="1"/>
    <x:col min="6" max="6" width="34" hidden="0" customWidth="1"/>
    <x:col min="7" max="7" width="30" hidden="0" customWidth="1"/>
  </x:cols>
  <x:sheetData>
    <x:row r="1" ht="29" customHeight="1">
      <x:c r="A1" s="125" t="str">
        <x:v>후속 작업에서 필요한 검토</x:v>
      </x:c>
      <x:c r="B1" s="125" t="str">
        <x:v>이번 조사에서 확인된 근거</x:v>
      </x:c>
      <x:c r="C1" s="125" t="str">
        <x:v>후속 시 검증할 일</x:v>
      </x:c>
      <x:c r="D1" s="125" t="str">
        <x:v>현재 판단</x:v>
      </x:c>
      <x:c r="E1" s="125" t="str">
        <x:v>담당 티켓</x:v>
      </x:c>
      <x:c r="F1" s="125" t="str">
        <x:v>담당자</x:v>
      </x:c>
      <x:c r="G1" s="125" t="str">
        <x:v>#64 종료조건 포함?</x:v>
      </x:c>
    </x:row>
    <x:row r="2" ht="55" customHeight="1">
      <x:c r="A2" s="126" t="str">
        <x:v>충전 목표 SoC·점유시간</x:v>
      </x:c>
      <x:c r="B2" s="126" t="str">
        <x:v>실측 점유 5141.3h / 모델 ME1779.6h</x:v>
      </x:c>
      <x:c r="C2" s="126" t="str">
        <x:v>비교 모집단을 맞춰 충전량·충전시간 P50/P90와 목표 SoC 영향 분리</x:v>
      </x:c>
      <x:c r="D2" s="126" t="str">
        <x:v>필요성 기록</x:v>
      </x:c>
      <x:c r="E2" s="126" t="str">
        <x:v>지정하지 않음</x:v>
      </x:c>
      <x:c r="F2" s="126" t="str">
        <x:v>지정하지 않음</x:v>
      </x:c>
      <x:c r="G2" s="126" t="str">
        <x:v>아니오</x:v>
      </x:c>
    </x:row>
    <x:row r="3" ht="55" customHeight="1">
      <x:c r="A3" s="90" t="str">
        <x:v>실측 OD/EV 수요</x:v>
      </x:c>
      <x:c r="B3" s="90" t="str">
        <x:v>이번 OD off, 별도 TCS OD에는 외부 통행 누락</x:v>
      </x:c>
      <x:c r="C3" s="90" t="str">
        <x:v>외부 통행을 반영한 일관 수요로 충전 필요량 검증</x:v>
      </x:c>
      <x:c r="D3" s="90" t="str">
        <x:v>필요성 기록</x:v>
      </x:c>
      <x:c r="E3" s="90" t="str">
        <x:v>지정하지 않음</x:v>
      </x:c>
      <x:c r="F3" s="90" t="str">
        <x:v>지정하지 않음</x:v>
      </x:c>
      <x:c r="G3" s="90" t="str">
        <x:v>아니오</x:v>
      </x:c>
    </x:row>
    <x:row r="4" ht="55" customHeight="1">
      <x:c r="A4" s="126" t="str">
        <x:v>UE 공간 선택 편중</x:v>
      </x:c>
      <x:c r="B4" s="126" t="str">
        <x:v>평사/추풍령 과대, 죽전/죽암 과소</x:v>
      </x:c>
      <x:c r="C4" s="126" t="str">
        <x:v>동일 후보 차량의 비용/SoC/출력/대기 선택 분해</x:v>
      </x:c>
      <x:c r="D4" s="126" t="str">
        <x:v>필요성 기록</x:v>
      </x:c>
      <x:c r="E4" s="126" t="str">
        <x:v>지정하지 않음</x:v>
      </x:c>
      <x:c r="F4" s="126" t="str">
        <x:v>지정하지 않음</x:v>
      </x:c>
      <x:c r="G4" s="126" t="str">
        <x:v>아니오</x:v>
      </x:c>
    </x:row>
    <x:row r="5" ht="55" customHeight="1">
      <x:c r="A5" s="90" t="str">
        <x:v>시간대 피크 차이</x:v>
      </x:c>
      <x:c r="B5" s="90" t="str">
        <x:v>±1시간 일치 4/20, 시간 WAPE98.66%</x:v>
      </x:c>
      <x:c r="C5" s="90" t="str">
        <x:v>출발시각·주행시간·예약시각 차이 분해</x:v>
      </x:c>
      <x:c r="D5" s="90" t="str">
        <x:v>필요성 기록</x:v>
      </x:c>
      <x:c r="E5" s="90" t="str">
        <x:v>지정하지 않음</x:v>
      </x:c>
      <x:c r="F5" s="90" t="str">
        <x:v>지정하지 않음</x:v>
      </x:c>
      <x:c r="G5" s="90" t="str">
        <x:v>아니오</x:v>
      </x:c>
    </x:row>
    <x:row r="6" ht="55" customHeight="1">
      <x:c r="A6" s="126" t="str">
        <x:v>날짜경계/시드 감도</x:v>
      </x:c>
      <x:c r="B6" s="126" t="str">
        <x:v>20개는 독립 일별 24h·seed7</x:v>
      </x:c>
      <x:c r="C6" s="126" t="str">
        <x:v>연속 240h 상태 이월·시드 분산의 필요성 판단</x:v>
      </x:c>
      <x:c r="D6" s="126" t="str">
        <x:v>필요성 기록</x:v>
      </x:c>
      <x:c r="E6" s="126" t="str">
        <x:v>지정하지 않음</x:v>
      </x:c>
      <x:c r="F6" s="126" t="str">
        <x:v>지정하지 않음</x:v>
      </x:c>
      <x:c r="G6" s="126" t="str">
        <x:v>아니오</x:v>
      </x:c>
    </x:row>
    <x:row r="7" ht="55" customHeight="1">
      <x:c r="A7" s="90" t="str">
        <x:v>동등 사업자 실측 범위</x:v>
      </x:c>
      <x:c r="B7" s="90" t="str">
        <x:v>모델 ME vs ALL 분류에 따라 건수 차이 큼</x:v>
      </x:c>
      <x:c r="C7" s="90" t="str">
        <x:v>사업자별 2월 거래 원본 생길 때 동등 모집단 재대조</x:v>
      </x:c>
      <x:c r="D7" s="90" t="str">
        <x:v>자료 입수 시 필요</x:v>
      </x:c>
      <x:c r="E7" s="90" t="str">
        <x:v>지정하지 않음</x:v>
      </x:c>
      <x:c r="F7" s="90" t="str">
        <x:v>지정하지 않음</x:v>
      </x:c>
      <x:c r="G7" s="90" t="str">
        <x:v>아니오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9" hidden="0" customWidth="1"/>
    <x:col min="3" max="3" width="34" hidden="0" customWidth="1"/>
    <x:col min="4" max="4" width="32" hidden="0" customWidth="1"/>
    <x:col min="5" max="5" width="45" hidden="0" customWidth="1"/>
    <x:col min="6" max="6" width="34" hidden="0" customWidth="1"/>
  </x:cols>
  <x:sheetData>
    <x:row r="1" ht="29" customHeight="1">
      <x:c r="A1" s="125" t="str">
        <x:v>자료 유형</x:v>
      </x:c>
      <x:c r="B1" s="125" t="str">
        <x:v>프로젝트 기준 상대 경로</x:v>
      </x:c>
      <x:c r="C1" s="125" t="str">
        <x:v>확인 범위</x:v>
      </x:c>
      <x:c r="D1" s="125" t="str">
        <x:v>남은 확인</x:v>
      </x:c>
      <x:c r="E1" s="125" t="str">
        <x:v>작성 기준</x:v>
      </x:c>
      <x:c r="F1" s="125" t="str">
        <x:v>비고</x:v>
      </x:c>
    </x:row>
    <x:row r="2" ht="55" customHeight="1">
      <x:c r="A2" s="126" t="str">
        <x:v>최종 종료점검 문서</x:v>
      </x:c>
      <x:c r="B2" s="126" t="str">
        <x:v>docs/sp3_64/ISSUE_64_CLOSEOUT_20261013.md</x:v>
      </x:c>
      <x:c r="C2" s="126" t="str">
        <x:v>본 패키지에 동봉 확인</x:v>
      </x:c>
      <x:c r="D2" s="126" t="str">
        <x:v>로컬 배치 여부</x:v>
      </x:c>
      <x:c r="E2" s="126" t="str">
        <x:v>2026-10-13</x:v>
      </x:c>
      <x:c r="F2" s="126" t="str">
        <x:v>후속 담당 티켓 지정 없음</x:v>
      </x:c>
    </x:row>
    <x:row r="3" ht="55" customHeight="1">
      <x:c r="A3" s="90" t="str">
        <x:v>GitHub 코멘트 초안</x:v>
      </x:c>
      <x:c r="B3" s="90" t="str">
        <x:v>docs/sp3_64/ISSUE_64_CLOSEOUT_COMMENT_DRAFT_20261013.md</x:v>
      </x:c>
      <x:c r="C3" s="90" t="str">
        <x:v>본 패키지에 동봉 확인</x:v>
      </x:c>
      <x:c r="D3" s="90" t="str">
        <x:v>실제 게시 여부</x:v>
      </x:c>
      <x:c r="E3" s="90" t="str">
        <x:v>2026-10-13</x:v>
      </x:c>
      <x:c r="F3" s="90" t="str">
        <x:v>자동 게시하지 않음</x:v>
      </x:c>
    </x:row>
    <x:row r="4" ht="55" customHeight="1">
      <x:c r="A4" s="126" t="str">
        <x:v>원본 충전이력</x:v>
      </x:c>
      <x:c r="B4" s="126" t="str">
        <x:v>data/raw/sp3_64/20260306_2026년2월_환경부_충전기_충전이력_상세내역.xlsx</x:v>
      </x:c>
      <x:c r="C4" s="126" t="str">
        <x:v>로컬 실존 미확인</x:v>
      </x:c>
      <x:c r="D4" s="126" t="str">
        <x:v>파일 존재 및 해시</x:v>
      </x:c>
      <x:c r="E4" s="126" t="str">
        <x:v>2026-10-13</x:v>
      </x:c>
      <x:c r="F4" s="126" t="str">
        <x:v>원본이 패키지에 없음</x:v>
      </x:c>
    </x:row>
    <x:row r="5" ht="55" customHeight="1">
      <x:c r="A5" s="90" t="str">
        <x:v>9월 API 원본</x:v>
      </x:c>
      <x:c r="B5" s="90" t="str">
        <x:v>data/raw/highway_chargers_20260918_125202_all/page_*.json</x:v>
      </x:c>
      <x:c r="C5" s="90" t="str">
        <x:v>로컬 실존 미확인</x:v>
      </x:c>
      <x:c r="D5" s="90" t="str">
        <x:v>페이지·경로 확인</x:v>
      </x:c>
      <x:c r="E5" s="90" t="str">
        <x:v>2026-10-13</x:v>
      </x:c>
      <x:c r="F5" s="90" t="str">
        <x:v>9월 282 등록 스냅샷</x:v>
      </x:c>
    </x:row>
    <x:row r="6" ht="55" customHeight="1">
      <x:c r="A6" s="126" t="str">
        <x:v>35개 공급표</x:v>
      </x:c>
      <x:c r="B6" s="126" t="str">
        <x:v>data/processed/sp3_64_validation/closeout_20261013/sp3_64_supply_35sites_BASE215_PEAK221.csv</x:v>
      </x:c>
      <x:c r="C6" s="126" t="str">
        <x:v>본 패키지에 동봉 확인</x:v>
      </x:c>
      <x:c r="D6" s="126" t="str">
        <x:v>최종 UE 슬롯과 일치 여부</x:v>
      </x:c>
      <x:c r="E6" s="126" t="str">
        <x:v>2026-10-13</x:v>
      </x:c>
      <x:c r="F6" s="126" t="str">
        <x:v>BASE215; PEAK221 참고</x:v>
      </x:c>
    </x:row>
    <x:row r="7" ht="55" customHeight="1">
      <x:c r="A7" s="90" t="str">
        <x:v>51개 제외 판정</x:v>
      </x:c>
      <x:c r="B7" s="90" t="str">
        <x:v>data/processed/sp3_64_validation/closeout_20261013/SP3_64_2026_registered_51_exclusion_evidence_20261012.csv</x:v>
      </x:c>
      <x:c r="C7" s="90" t="str">
        <x:v>본 패키지에 동봉 확인</x:v>
      </x:c>
      <x:c r="D7" s="90" t="str">
        <x:v>없음</x:v>
      </x:c>
      <x:c r="E7" s="90" t="str">
        <x:v>2026-10-13</x:v>
      </x:c>
      <x:c r="F7" s="90" t="str">
        <x:v>42/4/5 구분</x:v>
      </x:c>
    </x:row>
    <x:row r="8" ht="55" customHeight="1">
      <x:c r="A8" s="126" t="str">
        <x:v>10일 비교 전체</x:v>
      </x:c>
      <x:c r="B8" s="126" t="str">
        <x:v>data/processed/sp3_64_validation/closeout_20261013/01_station_hour_ALL35_with_NA.csv</x:v>
      </x:c>
      <x:c r="C8" s="126" t="str">
        <x:v>본 패키지에 동봉 확인</x:v>
      </x:c>
      <x:c r="D8" s="126" t="str">
        <x:v>없음</x:v>
      </x:c>
      <x:c r="E8" s="126" t="str">
        <x:v>2026-10-13</x:v>
      </x:c>
      <x:c r="F8" s="126" t="str">
        <x:v>29 관측소, 6 N/A</x:v>
      </x:c>
    </x:row>
    <x:row r="9" ht="55" customHeight="1">
      <x:c r="A9" s="90" t="str">
        <x:v>결과 총합</x:v>
      </x:c>
      <x:c r="B9" s="90" t="str">
        <x:v>data/processed/sp3_64_validation/closeout_20261013/07_10day_overall_site_day_metrics.csv</x:v>
      </x:c>
      <x:c r="C9" s="90" t="str">
        <x:v>본 패키지에 동봉·산술 확인</x:v>
      </x:c>
      <x:c r="D9" s="90" t="str">
        <x:v>외적 판정 보류</x:v>
      </x:c>
      <x:c r="E9" s="90" t="str">
        <x:v>2026-10-13</x:v>
      </x:c>
      <x:c r="F9" s="90" t="str">
        <x:v>WAPE 78.49%</x:v>
      </x:c>
    </x:row>
    <x:row r="10" ht="55" customHeight="1">
      <x:c r="A10" s="126" t="str">
        <x:v>QA 원장</x:v>
      </x:c>
      <x:c r="B10" s="126" t="str">
        <x:v>data/processed/sp3_64_validation/closeout_20261013/validation_checks.json</x:v>
      </x:c>
      <x:c r="C10" s="126" t="str">
        <x:v>본 패키지에 동봉 확인</x:v>
      </x:c>
      <x:c r="D10" s="126" t="str">
        <x:v>원본 PC 경로 검증</x:v>
      </x:c>
      <x:c r="E10" s="126" t="str">
        <x:v>2026-10-13</x:v>
      </x:c>
      <x:c r="F10" s="126" t="str">
        <x:v>20/29/95/120</x:v>
      </x:c>
    </x:row>
    <x:row r="11" ht="55" customHeight="1">
      <x:c r="A11" s="90" t="str">
        <x:v>원본 operator lab DOWN</x:v>
      </x:c>
      <x:c r="B11" s="90" t="str">
        <x:v>data/processed/sp3_64_operator_lab_down_s0007/isolated.db</x:v>
      </x:c>
      <x:c r="C11" s="90" t="str">
        <x:v>로컬 실존 미확인</x:v>
      </x:c>
      <x:c r="D11" s="90" t="str">
        <x:v>파일 존재 확인</x:v>
      </x:c>
      <x:c r="E11" s="90" t="str">
        <x:v>2026-10-13</x:v>
      </x:c>
      <x:c r="F11" s="90" t="str">
        <x:v>원본 수정 금지</x:v>
      </x:c>
    </x:row>
    <x:row r="12" ht="55" customHeight="1">
      <x:c r="A12" s="126" t="str">
        <x:v>원본 operator lab UP</x:v>
      </x:c>
      <x:c r="B12" s="126" t="str">
        <x:v>data/processed/sp3_64_operator_lab_up_s0007_retry1/isolated.db</x:v>
      </x:c>
      <x:c r="C12" s="126" t="str">
        <x:v>로컬 실존 미확인</x:v>
      </x:c>
      <x:c r="D12" s="126" t="str">
        <x:v>파일 존재 확인</x:v>
      </x:c>
      <x:c r="E12" s="126" t="str">
        <x:v>2026-10-13</x:v>
      </x:c>
      <x:c r="F12" s="126" t="str">
        <x:v>원본 수정 금지</x:v>
      </x:c>
    </x:row>
    <x:row r="13" ht="55" customHeight="1">
      <x:c r="A13" s="90" t="str">
        <x:v>비교 엑셀</x:v>
      </x:c>
      <x:c r="B13" s="90" t="str">
        <x:v>reports/SP3_64_BASE215_10day_validation_CORRECTED_20261012.xlsx</x:v>
      </x:c>
      <x:c r="C13" s="90" t="str">
        <x:v>기존 workbook 19시트 참조</x:v>
      </x:c>
      <x:c r="D13" s="90" t="str">
        <x:v>이번 추가된 시트는 별도 결과물</x:v>
      </x:c>
      <x:c r="E13" s="90" t="str">
        <x:v>2026-10-13</x:v>
      </x:c>
      <x:c r="F13" s="90" t="str">
        <x:v>수치 변경 없음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37" hidden="0" customWidth="1"/>
    <x:col min="4" max="4" width="25" hidden="0" customWidth="1"/>
    <x:col min="5" max="5" width="38" hidden="0" customWidth="1"/>
    <x:col min="6" max="6" width="49" hidden="0" customWidth="1"/>
    <x:col min="7" max="7" width="42" hidden="0" customWidth="1"/>
    <x:col min="8" max="8" width="49" hidden="0" customWidth="1"/>
    <x:col min="9" max="9" width="54" hidden="0" customWidth="1"/>
  </x:cols>
  <x:sheetData>
    <x:row r="1" ht="30" customHeight="1">
      <x:c r="A1" s="128" t="str">
        <x:v>#64 | 실측·민간 공급 근거·모의 이력의 분리 구성</x:v>
      </x:c>
      <x:c r="B1" s="128" t="str"/>
      <x:c r="C1" s="128" t="str"/>
      <x:c r="D1" s="128" t="str"/>
      <x:c r="E1" s="128" t="str"/>
      <x:c r="F1" s="128" t="str"/>
      <x:c r="G1" s="128" t="str"/>
      <x:c r="H1" s="128" t="str"/>
      <x:c r="I1" s="128" t="str"/>
    </x:row>
    <x:row r="2" ht="25" customHeight="1">
      <x:c r="A2" s="130" t="str">
        <x:v>2026-02-13~22 | 공급은 BASE215 유지 · 기존 WAPE/MAPE 및 UE 실행 원본 변경 없음</x:v>
      </x:c>
      <x:c r="B2" s="130" t="str"/>
      <x:c r="C2" s="130" t="str"/>
      <x:c r="D2" s="130" t="str"/>
      <x:c r="E2" s="130" t="str"/>
      <x:c r="F2" s="130" t="str"/>
      <x:c r="G2" s="130" t="str"/>
      <x:c r="H2" s="130" t="str"/>
      <x:c r="I2" s="130" t="str"/>
    </x:row>
    <x:row r="4" ht="34" customHeight="1">
      <x:c r="A4" s="133" t="str">
        <x:v>구분</x:v>
      </x:c>
      <x:c r="B4" s="133" t="str">
        <x:v>데이터 성격</x:v>
      </x:c>
      <x:c r="C4" s="133" t="str">
        <x:v>확보된 근거/출처</x:v>
      </x:c>
      <x:c r="D4" s="133" t="str">
        <x:v>기준 기간</x:v>
      </x:c>
      <x:c r="E4" s="133" t="str">
        <x:v>직접 관측 가능한 것</x:v>
      </x:c>
      <x:c r="F4" s="133" t="str">
        <x:v>자료 처리·구성 방법</x:v>
      </x:c>
      <x:c r="G4" s="133" t="str">
        <x:v>최종 사용</x:v>
      </x:c>
      <x:c r="H4" s="133" t="str">
        <x:v>핵심 해석 제한</x:v>
      </x:c>
      <x:c r="I4" s="133" t="str">
        <x:v>주요 파일/코드 경로</x:v>
      </x:c>
    </x:row>
    <x:row r="5" ht="105" customHeight="1">
      <x:c r="A5" s="135" t="str">
        <x:v>환경부 제공 개별 세션</x:v>
      </x:c>
      <x:c r="B5" s="135" t="str">
        <x:v>직접 실측 세션</x:v>
      </x:c>
      <x:c r="C5" s="135" t="str">
        <x:v>환경부 제공 충전 이력 XLSX</x:v>
      </x:c>
      <x:c r="D5" s="135" t="str">
        <x:v>2026-02-13~22 (10일)</x:v>
      </x:c>
      <x:c r="E5" s="135" t="str">
        <x:v>시작·종료·충전량·표시 ID; 관측29/35, 11,405건</x:v>
      </x:c>
      <x:c r="F5" s="135" t="str">
        <x:v>휴게소/방향/일/시간 매칭; 관측 0과 N/A 분리; 점유분·동시 세션 집계</x:v>
      </x:c>
      <x:c r="G5" s="135" t="str">
        <x:v>조건부 외적 대조 관측값</x:v>
      </x:c>
      <x:c r="H5" s="135" t="str">
        <x:v>제공기관 환경부 ≠ busiId ME-only 확정; 충전기 ID는 API statId 아님</x:v>
      </x:c>
      <x:c r="I5" s="135" t="str">
        <x:v>data/raw/sp3_64/*충전이력_상세내역.xlsx; scripts/analyze_sp3_64_charging_history.py</x:v>
      </x:c>
    </x:row>
    <x:row r="6" ht="105" customHeight="1">
      <x:c r="A6" s="134" t="str">
        <x:v>비ME 과거 설비·운영 증거</x:v>
      </x:c>
      <x:c r="B6" s="134" t="str">
        <x:v>역사적 공급 근거 (실제 세션 아님)</x:v>
      </x:c>
      <x:c r="C6" s="134" t="str">
        <x:v>개소 공고·현장 기록·운영 목록·조달 + 9월 API</x:v>
      </x:c>
      <x:c r="D6" s="134" t="str">
        <x:v>설 이전 ~ 2026-09</x:v>
      </x:c>
      <x:c r="E6" s="134" t="str">
        <x:v>과거 시설·운영사 존재, 9월 레코드 136개 대응</x:v>
      </x:c>
      <x:c r="F6" s="134" t="str">
        <x:v>비ME 187 → 구설비 136 → 상용 16 제외 → 승용 후보 120 proxy 포함</x:v>
      </x:c>
      <x:c r="G6" s="134" t="str">
        <x:v>BASE215 중 NONME 120슬롯 선정</x:v>
      </x:c>
      <x:c r="H6" s="134" t="str">
        <x:v>2월 민간 실제 충전시작·개별 가동·대기 이력 복원 아님</x:v>
      </x:c>
      <x:c r="I6" s="134" t="str">
        <x:v>sp3_64_historical_evidence_conclusion_20261010.xlsx; 15_35개소공급포함</x:v>
      </x:c>
    </x:row>
    <x:row r="7" ht="105" customHeight="1">
      <x:c r="A7" s="135" t="str">
        <x:v>민간 사업자 발표</x:v>
      </x:c>
      <x:c r="B7" s="135" t="str">
        <x:v>사업자 부분 실측 (독립 모집단)</x:v>
      </x:c>
      <x:c r="C7" s="135" t="str">
        <x:v>워터 고속도로 충전 분석 발표</x:v>
      </x:c>
      <x:c r="D7" s="135" t="str">
        <x:v>2026-02-14~18 (5일)</x:v>
      </x:c>
      <x:c r="E7" s="135" t="str">
        <x:v>칠곡 UP 3기 이용률 등 (발표 범위에 한정)</x:v>
      </x:c>
      <x:c r="F7" s="135" t="str">
        <x:v>운영사·기간·장비 범위 분리 보존; 직접 10일 XLSX 합산 금지</x:v>
      </x:c>
      <x:c r="G7" s="135" t="str">
        <x:v>보조 외적 타당성 참고</x:v>
      </x:c>
      <x:c r="H7" s="135" t="str">
        <x:v>경부선 35개소/10일/민간 전체의 실측 이력 아님</x:v>
      </x:c>
      <x:c r="I7" s="135" t="str">
        <x:v>docs/sp3_64_2026_feb_capacity_evidence_and_scenarios.md; https://watercharging.com/boards/226</x:v>
      </x:c>
    </x:row>
    <x:row r="8" ht="105" customHeight="1">
      <x:c r="A8" s="134" t="str">
        <x:v>UE 운영사별 충전 이벤트</x:v>
      </x:c>
      <x:c r="B8" s="134" t="str">
        <x:v>모의 이력 (실측 아님)</x:v>
      </x:c>
      <x:c r="C8" s="134" t="str">
        <x:v>BASE215 UE 이벤트 원장; ME/NONME 모델 슬롯 키</x:v>
      </x:c>
      <x:c r="D8" s="134" t="str">
        <x:v>독립 하루×20회</x:v>
      </x:c>
      <x:c r="E8" s="134" t="str">
        <x:v>모델 시작시각·종료시각·충전량·슬롯 ID·버킷</x:v>
      </x:c>
      <x:c r="F8" s="134" t="str">
        <x:v>model_unit_to_operator.csv 매핑 → ue_charge_events_by_operator.csv → ME/NONME 구분·시간대 집계</x:v>
      </x:c>
      <x:c r="G8" s="134" t="str">
        <x:v>ME 8,413건 vs 관측 11,405건 조건부 비교; NONME는 선택/분류 진단</x:v>
      </x:c>
      <x:c r="H8" s="134" t="str">
        <x:v>모의 NONME 이력을 2월 민간 실제 충전 이력이라고 표기 금지</x:v>
      </x:c>
      <x:c r="I8" s="134" t="str">
        <x:v>scripts/sp3_64_daily_base215_runner.py; scripts/sp3_64_validate_20day_base215.py</x:v>
      </x:c>
    </x:row>
    <x:row r="10" ht="34" customHeight="1">
      <x:c r="A10" s="133" t="str">
        <x:v>단계</x:v>
      </x:c>
      <x:c r="B10" s="133" t="str">
        <x:v>대상</x:v>
      </x:c>
      <x:c r="C10" s="133" t="str">
        <x:v>원본/근거</x:v>
      </x:c>
      <x:c r="D10" s="133" t="str">
        <x:v>연산/정제</x:v>
      </x:c>
      <x:c r="E10" s="133" t="str">
        <x:v>산출물</x:v>
      </x:c>
      <x:c r="F10" s="133" t="str">
        <x:v>실측/모형 구분</x:v>
      </x:c>
      <x:c r="G10" s="133" t="str">
        <x:v>검증시 사용</x:v>
      </x:c>
      <x:c r="H10" s="133" t="str">
        <x:v>금지할 해석</x:v>
      </x:c>
      <x:c r="I10" s="133" t="str">
        <x:v>재현/추적</x:v>
      </x:c>
    </x:row>
    <x:row r="11" ht="105" customHeight="1">
      <x:c r="A11" s="136" t="str">
        <x:v>1</x:v>
      </x:c>
      <x:c r="B11" s="136" t="str">
        <x:v>환경부 2월 세션</x:v>
      </x:c>
      <x:c r="C11" s="136" t="str">
        <x:v>환경부 제공 XLSX</x:v>
      </x:c>
      <x:c r="D11" s="136" t="str">
        <x:v>기간·방향·휴게소 일치, 시작/종료·전력량·표시 ID QC</x:v>
      </x:c>
      <x:c r="E11" s="136" t="str">
        <x:v>35개소 관측/N/A, 시작·점유 시간 집계</x:v>
      </x:c>
      <x:c r="F11" s="136" t="str">
        <x:v>직접 관측</x:v>
      </x:c>
      <x:c r="G11" s="136" t="str">
        <x:v>11,405건; 관측29개소</x:v>
      </x:c>
      <x:c r="H11" s="136" t="str">
        <x:v>6개 미관측소=0건</x:v>
      </x:c>
      <x:c r="I11" s="136" t="str">
        <x:v>sp3_64_charging_hourly.csv</x:v>
      </x:c>
    </x:row>
    <x:row r="12" ht="105" customHeight="1">
      <x:c r="A12" s="134" t="str">
        <x:v>2</x:v>
      </x:c>
      <x:c r="B12" s="134" t="str">
        <x:v>비ME 과거 시설</x:v>
      </x:c>
      <x:c r="C12" s="134" t="str">
        <x:v>2017~2025 설비·사업자 근거 + 9월 API</x:v>
      </x:c>
      <x:c r="D12" s="134" t="str">
        <x:v>설 이전 존재 여부 증거 등급, 42/4/5/16 제외 결정</x:v>
      </x:c>
      <x:c r="E12" s="134" t="str">
        <x:v>가상 120슬롯(비ME) / 95슬롯(ME)</x:v>
      </x:c>
      <x:c r="F12" s="134" t="str">
        <x:v>공급 대리값(proxy)</x:v>
      </x:c>
      <x:c r="G12" s="134" t="str">
        <x:v>BASE215 유지</x:v>
      </x:c>
      <x:c r="H12" s="134" t="str">
        <x:v>2월 개별 민간 거래 원본 구축으로 오해</x:v>
      </x:c>
      <x:c r="I12" s="134" t="str">
        <x:v>sp3_64_supply_35sites_BASE215_PEAK221.csv</x:v>
      </x:c>
    </x:row>
    <x:row r="13" ht="105" customHeight="1">
      <x:c r="A13" s="136" t="str">
        <x:v>3</x:v>
      </x:c>
      <x:c r="B13" s="136" t="str">
        <x:v>운영사별 UE 이벤트</x:v>
      </x:c>
      <x:c r="C13" s="136" t="str">
        <x:v>20개 UE의 model_unit_to_operator, 이벤트 원장</x:v>
      </x:c>
      <x:c r="D13" s="136" t="str">
        <x:v>ME/NONME 분리, 시작/점유를 일·시간·휴게소로 합산</x:v>
      </x:c>
      <x:c r="E13" s="136" t="str">
        <x:v>ME/NONME 모의 충전 이력</x:v>
      </x:c>
      <x:c r="F13" s="136" t="str">
        <x:v>모델 출력</x:v>
      </x:c>
      <x:c r="G13" s="136" t="str">
        <x:v>ME 8,413건; ALL 26,106건(관측 지점)</x:v>
      </x:c>
      <x:c r="H13" s="136" t="str">
        <x:v>모델 ALL을 환경부 관측 총량의 예측 오차로 채점</x:v>
      </x:c>
      <x:c r="I13" s="136" t="str">
        <x:v>ue_charge_events_by_operator.csv</x:v>
      </x:c>
    </x:row>
    <x:row r="14" ht="105" customHeight="1">
      <x:c r="A14" s="134" t="str">
        <x:v>4</x:v>
      </x:c>
      <x:c r="B14" s="134" t="str">
        <x:v>동등 범위 대조</x:v>
      </x:c>
      <x:c r="C14" s="134" t="str">
        <x:v>환경부 제공 관측+모델 ME</x:v>
      </x:c>
      <x:c r="D14" s="134" t="str">
        <x:v>날짜/휴게소/시작 기준 통일, 운영사 동등성은 미확인</x:v>
      </x:c>
      <x:c r="E14" s="134" t="str">
        <x:v>WAPE 일 78.49%, MAPE 일 93.31%, WAPE 시간 98.66%</x:v>
      </x:c>
      <x:c r="F14" s="134" t="str">
        <x:v>조건부 통계</x:v>
      </x:c>
      <x:c r="G14" s="134" t="str">
        <x:v>내부 계산 QA 통과</x:v>
      </x:c>
      <x:c r="H14" s="134" t="str">
        <x:v>성능 현실 적합성 통과/실패 확정 금지</x:v>
      </x:c>
      <x:c r="I14" s="134" t="str">
        <x:v>validation_checks.json</x:v>
      </x:c>
    </x:row>
    <x:row r="17" ht="34" customHeight="1">
      <x:c r="A17" s="133" t="str">
        <x:v>9월 API 레코드</x:v>
      </x:c>
      <x:c r="B17" s="133" t="str">
        <x:v>기본 포함 ME</x:v>
      </x:c>
      <x:c r="C17" s="133" t="str">
        <x:v>기본 포함 NONME</x:v>
      </x:c>
      <x:c r="D17" s="133" t="str">
        <x:v>기준 제외 합계</x:v>
      </x:c>
    </x:row>
    <x:row r="18" ht="26" customHeight="1">
      <x:c r="A18" t="n">
        <x:v>282</x:v>
      </x:c>
      <x:c r="B18" t="n">
        <x:v>95</x:v>
      </x:c>
      <x:c r="C18" t="n">
        <x:v>120</x:v>
      </x:c>
      <x:c r="D18" t="n">
        <x:f>42+4+5+16</x:f>
        <x:v>67</x:v>
      </x:c>
    </x:row>
    <x:row r="20" ht="34" customHeight="1">
      <x:c r="A20" s="133" t="str">
        <x:v>계산 검증</x:v>
      </x:c>
      <x:c r="B20" s="133" t="str">
        <x:v>BASE215 (ME+NONME)</x:v>
      </x:c>
      <x:c r="C20" s="133" t="str">
        <x:v>9월 레코드 - 제외</x:v>
      </x:c>
      <x:c r="D20" s="133" t="str">
        <x:v>합치 여부</x:v>
      </x:c>
    </x:row>
    <x:row r="21" ht="26" customHeight="1">
      <x:c r="B21" t="n">
        <x:f>B18+C18</x:f>
        <x:v>215</x:v>
      </x:c>
      <x:c r="C21" t="n">
        <x:f>A18-D18</x:f>
        <x:v>215</x:v>
      </x:c>
      <x:c r="D21" t="b">
        <x:f>B21=C21</x:f>
        <x:v>1</x:v>
      </x:c>
    </x:row>
    <x:row r="23" ht="27" customHeight="1">
      <x:c r="A23" s="138" t="str">
        <x:v>판정</x:v>
      </x:c>
      <x:c r="B23" s="138" t="str">
        <x:v>계산 오류/실측 부족 구분</x:v>
      </x:c>
      <x:c r="C23" s="138" t="str"/>
      <x:c r="D23" s="138" t="str"/>
      <x:c r="E23" s="138" t="str"/>
      <x:c r="F23" s="138" t="str"/>
      <x:c r="G23" s="138" t="str"/>
      <x:c r="H23" s="138" t="str"/>
      <x:c r="I23" s="138" t="str"/>
    </x:row>
    <x:row r="24" ht="34" customHeight="1">
      <x:c r="A24" s="84" t="str">
        <x:v>확인</x:v>
      </x:c>
      <x:c r="B24" s="84" t="str">
        <x:v>ME 95 / 비ME 120은 UE 모델 입력으로 실제 반영됨</x:v>
      </x:c>
      <x:c r="C24" s="84" t="str"/>
      <x:c r="D24" s="84" t="str"/>
      <x:c r="E24" s="84" t="str"/>
      <x:c r="F24" s="84" t="str"/>
      <x:c r="G24" s="84" t="str"/>
      <x:c r="H24" s="84" t="str"/>
      <x:c r="I24" s="84" t="str"/>
    </x:row>
    <x:row r="25" ht="34" customHeight="1">
      <x:c r="A25" s="84" t="str">
        <x:v>한계</x:v>
      </x:c>
      <x:c r="B25" s="84" t="str">
        <x:v>민간 전체 2월 실제 개별 충전 거래 원본 없음. 민간 자료는 과거 공급 증빙 및 일부 사업자 부분 관측이고 NONME 이벤트는 모의 생성</x:v>
      </x:c>
      <x:c r="C25" s="84" t="str"/>
      <x:c r="D25" s="84" t="str"/>
      <x:c r="E25" s="84" t="str"/>
      <x:c r="F25" s="84" t="str"/>
      <x:c r="G25" s="84" t="str"/>
      <x:c r="H25" s="84" t="str"/>
      <x:c r="I25" s="84" t="str"/>
    </x:row>
    <x:row r="27" ht="38" customHeight="1">
      <x:c r="A27" s="138" t="str">
        <x:v>문서 판정</x:v>
      </x:c>
      <x:c r="B27" s="138" t="str">
        <x:v>#64에서 충전기 공급 조사와 이력 구성·차이 기록은 완료. 신규 UE 재실행/민간 실측 세션 합성 불필요; 기존 자료의 증거 수준을 정확히 표기.</x:v>
      </x:c>
      <x:c r="C27" s="138" t="str"/>
      <x:c r="D27" s="138" t="str"/>
      <x:c r="E27" s="138" t="str"/>
      <x:c r="F27" s="138" t="str"/>
      <x:c r="G27" s="138" t="str"/>
      <x:c r="H27" s="138" t="str"/>
      <x:c r="I27" s="138" t="str"/>
    </x:row>
  </x:sheetData>
  <x:mergeCells>
    <x:mergeCell ref="A1:I1"/>
    <x:mergeCell ref="A2:I2"/>
    <x:mergeCell ref="B23:I23"/>
    <x:mergeCell ref="B24:I24"/>
    <x:mergeCell ref="B25:I25"/>
    <x:mergeCell ref="B27:I27"/>
  </x:mergeCells>
  <x:pageMargins left="0.7" right="0.7" top="0.75" bottom="0.75" header="0.3" footer="0.3"/>
</x:worksheet>
</file>